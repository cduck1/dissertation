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Probiotic Potential/Probiotic Potential/"/>
    </mc:Choice>
  </mc:AlternateContent>
  <xr:revisionPtr revIDLastSave="436" documentId="11_AD4DB114E441178AC67DF4A3FE56C666693EDF18" xr6:coauthVersionLast="47" xr6:coauthVersionMax="47" xr10:uidLastSave="{A5F2AE6D-DD14-4F08-A895-CF7693A4DDD4}"/>
  <bookViews>
    <workbookView xWindow="-108" yWindow="-108" windowWidth="23256" windowHeight="12456" activeTab="1" xr2:uid="{00000000-000D-0000-FFFF-FFFF00000000}"/>
  </bookViews>
  <sheets>
    <sheet name="Probiotic Potential Identified" sheetId="1" r:id="rId1"/>
    <sheet name="Match Summary" sheetId="2" r:id="rId2"/>
  </sheets>
  <definedNames>
    <definedName name="_xlnm._FilterDatabase" localSheetId="0" hidden="1">'Probiotic Potential Identified'!$A$2:$M$244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  <c r="M19" i="1"/>
  <c r="M21" i="1"/>
  <c r="M25" i="1"/>
  <c r="M28" i="1"/>
  <c r="M30" i="1"/>
  <c r="M33" i="1"/>
  <c r="M35" i="1"/>
  <c r="M37" i="1"/>
  <c r="M38" i="1"/>
  <c r="M42" i="1"/>
  <c r="M44" i="1"/>
  <c r="M51" i="1"/>
  <c r="M55" i="1"/>
  <c r="M58" i="1"/>
  <c r="M59" i="1"/>
  <c r="M63" i="1"/>
  <c r="M70" i="1"/>
  <c r="M73" i="1"/>
  <c r="M74" i="1"/>
  <c r="M75" i="1"/>
  <c r="M76" i="1"/>
  <c r="M79" i="1"/>
  <c r="M86" i="1"/>
  <c r="M87" i="1"/>
  <c r="M91" i="1"/>
  <c r="M94" i="1"/>
  <c r="M96" i="1"/>
  <c r="M97" i="1"/>
  <c r="M99" i="1"/>
  <c r="M104" i="1"/>
  <c r="M105" i="1"/>
  <c r="M109" i="1"/>
  <c r="M110" i="1"/>
  <c r="M113" i="1"/>
  <c r="M118" i="1"/>
  <c r="M119" i="1"/>
  <c r="M121" i="1"/>
  <c r="M122" i="1"/>
  <c r="M128" i="1"/>
  <c r="M133" i="1"/>
  <c r="M134" i="1"/>
  <c r="M135" i="1"/>
  <c r="M136" i="1"/>
  <c r="M147" i="1"/>
  <c r="M148" i="1"/>
  <c r="M149" i="1"/>
  <c r="M151" i="1"/>
  <c r="M157" i="1"/>
  <c r="M158" i="1"/>
  <c r="M159" i="1"/>
  <c r="M160" i="1"/>
  <c r="M166" i="1"/>
  <c r="M169" i="1"/>
  <c r="M170" i="1"/>
  <c r="M171" i="1"/>
  <c r="M177" i="1"/>
  <c r="M185" i="1"/>
  <c r="M194" i="1"/>
  <c r="M195" i="1"/>
  <c r="M197" i="1"/>
  <c r="M202" i="1"/>
  <c r="M204" i="1"/>
  <c r="M205" i="1"/>
  <c r="M209" i="1"/>
  <c r="M211" i="1"/>
  <c r="M214" i="1"/>
  <c r="M216" i="1"/>
  <c r="M218" i="1"/>
  <c r="M219" i="1"/>
  <c r="M221" i="1"/>
  <c r="M222" i="1"/>
  <c r="M223" i="1"/>
  <c r="M225" i="1"/>
  <c r="M226" i="1"/>
  <c r="M229" i="1"/>
  <c r="M237" i="1"/>
  <c r="M238" i="1"/>
  <c r="M239" i="1"/>
  <c r="M16" i="1"/>
  <c r="M18" i="1"/>
  <c r="M20" i="1"/>
  <c r="M27" i="1"/>
  <c r="M53" i="1"/>
  <c r="M123" i="1"/>
  <c r="M150" i="1"/>
  <c r="M153" i="1"/>
  <c r="M154" i="1"/>
  <c r="M163" i="1"/>
  <c r="M164" i="1"/>
  <c r="M165" i="1"/>
  <c r="M173" i="1"/>
  <c r="M179" i="1"/>
  <c r="M180" i="1"/>
  <c r="M182" i="1"/>
  <c r="M190" i="1"/>
  <c r="M191" i="1"/>
  <c r="M201" i="1"/>
  <c r="M23" i="1"/>
  <c r="M34" i="1"/>
  <c r="M46" i="1"/>
  <c r="M56" i="1"/>
  <c r="M65" i="1"/>
  <c r="M66" i="1"/>
  <c r="M77" i="1"/>
  <c r="M80" i="1"/>
  <c r="M108" i="1"/>
  <c r="M114" i="1"/>
  <c r="M115" i="1"/>
  <c r="M127" i="1"/>
  <c r="M129" i="1"/>
  <c r="M137" i="1"/>
  <c r="M139" i="1"/>
  <c r="M141" i="1"/>
  <c r="M143" i="1"/>
  <c r="M144" i="1"/>
  <c r="M152" i="1"/>
  <c r="M155" i="1"/>
  <c r="M156" i="1"/>
  <c r="M162" i="1"/>
  <c r="M181" i="1"/>
  <c r="M186" i="1"/>
  <c r="M188" i="1"/>
  <c r="M208" i="1"/>
  <c r="M212" i="1"/>
  <c r="M224" i="1"/>
  <c r="M231" i="1"/>
  <c r="M48" i="1"/>
  <c r="M50" i="1"/>
  <c r="M69" i="1"/>
  <c r="M88" i="1"/>
  <c r="M130" i="1"/>
  <c r="M140" i="1"/>
  <c r="M145" i="1"/>
  <c r="M227" i="1"/>
  <c r="M71" i="1"/>
  <c r="M83" i="1"/>
  <c r="M111" i="1"/>
  <c r="M132" i="1"/>
  <c r="M142" i="1"/>
  <c r="M183" i="1"/>
  <c r="M242" i="1"/>
  <c r="M24" i="1"/>
  <c r="M52" i="1"/>
  <c r="M54" i="1"/>
  <c r="M68" i="1"/>
  <c r="M92" i="1"/>
  <c r="M125" i="1"/>
  <c r="M172" i="1"/>
  <c r="M235" i="1"/>
  <c r="M240" i="1"/>
  <c r="M26" i="1"/>
  <c r="M43" i="1"/>
  <c r="M85" i="1"/>
  <c r="M184" i="1"/>
  <c r="M198" i="1"/>
  <c r="M213" i="1"/>
  <c r="M101" i="1"/>
  <c r="M138" i="1"/>
  <c r="M161" i="1"/>
  <c r="M189" i="1"/>
  <c r="M192" i="1"/>
  <c r="M193" i="1"/>
  <c r="M220" i="1"/>
  <c r="M39" i="1"/>
  <c r="M49" i="1"/>
  <c r="M120" i="1"/>
  <c r="M62" i="1"/>
  <c r="M102" i="1"/>
  <c r="M175" i="1"/>
  <c r="M206" i="1"/>
  <c r="M232" i="1"/>
  <c r="M241" i="1"/>
  <c r="M233" i="1"/>
  <c r="M103" i="1"/>
  <c r="M215" i="1"/>
  <c r="M14" i="1"/>
  <c r="M31" i="1"/>
  <c r="M45" i="1"/>
  <c r="M78" i="1"/>
  <c r="M84" i="1"/>
  <c r="M107" i="1"/>
  <c r="M207" i="1"/>
  <c r="M217" i="1"/>
  <c r="M126" i="1"/>
  <c r="M124" i="1"/>
  <c r="M234" i="1"/>
  <c r="M116" i="1"/>
  <c r="M200" i="1"/>
  <c r="M210" i="1"/>
  <c r="M117" i="1"/>
  <c r="M146" i="1"/>
  <c r="M22" i="1"/>
  <c r="M100" i="1"/>
  <c r="M29" i="1"/>
  <c r="M81" i="1"/>
  <c r="M106" i="1"/>
  <c r="M15" i="1"/>
  <c r="M131" i="1"/>
  <c r="M176" i="1"/>
  <c r="M178" i="1"/>
  <c r="M174" i="1"/>
  <c r="M13" i="1"/>
  <c r="M112" i="1"/>
  <c r="M93" i="1"/>
  <c r="M228" i="1"/>
  <c r="M203" i="1"/>
  <c r="M230" i="1"/>
  <c r="M196" i="1"/>
  <c r="M236" i="1"/>
  <c r="M187" i="1"/>
  <c r="M67" i="1"/>
  <c r="M95" i="1"/>
  <c r="M36" i="1"/>
  <c r="M47" i="1"/>
  <c r="M98" i="1"/>
  <c r="M32" i="1"/>
  <c r="M167" i="1"/>
  <c r="M168" i="1"/>
  <c r="M199" i="1"/>
  <c r="M60" i="1"/>
  <c r="M64" i="1"/>
  <c r="M40" i="1"/>
  <c r="M90" i="1"/>
  <c r="M89" i="1"/>
  <c r="M82" i="1"/>
  <c r="M72" i="1"/>
  <c r="M61" i="1"/>
  <c r="M57" i="1"/>
  <c r="M41" i="1"/>
  <c r="M12" i="1"/>
  <c r="M11" i="1"/>
  <c r="M10" i="1"/>
  <c r="M9" i="1"/>
  <c r="M8" i="1"/>
  <c r="M4" i="1"/>
  <c r="M5" i="1"/>
  <c r="M6" i="1"/>
  <c r="M7" i="1"/>
  <c r="M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3" i="1"/>
</calcChain>
</file>

<file path=xl/sharedStrings.xml><?xml version="1.0" encoding="utf-8"?>
<sst xmlns="http://schemas.openxmlformats.org/spreadsheetml/2006/main" count="1757" uniqueCount="833">
  <si>
    <t>Supplementary  Table 1. In-house database cointanting genes/proteins potentially associated  with probiotic functions</t>
  </si>
  <si>
    <t xml:space="preserve">Gene </t>
  </si>
  <si>
    <t xml:space="preserve">Protein </t>
  </si>
  <si>
    <t>Bacteria</t>
  </si>
  <si>
    <t>Accession number</t>
  </si>
  <si>
    <t>Probiotic-related mechanism</t>
  </si>
  <si>
    <t>Reference</t>
  </si>
  <si>
    <t>arnC</t>
  </si>
  <si>
    <t>Undecaprenyl-phosphate 4-deoxy-4-formamido-l-arabinose transferase</t>
  </si>
  <si>
    <t xml:space="preserve">KRK28629.1 </t>
  </si>
  <si>
    <t>Adhesion</t>
  </si>
  <si>
    <t>[36]</t>
  </si>
  <si>
    <t>cdpA</t>
  </si>
  <si>
    <t>Cell division and separation protein</t>
  </si>
  <si>
    <t>[63]</t>
  </si>
  <si>
    <t>exoA</t>
  </si>
  <si>
    <t>Exodeoxyribonuclease III</t>
  </si>
  <si>
    <t>[67]</t>
  </si>
  <si>
    <t>fbp</t>
  </si>
  <si>
    <t>Fructose-1,6-bisphosphatase class 3</t>
  </si>
  <si>
    <t>AER64780.1</t>
  </si>
  <si>
    <t>flgD</t>
  </si>
  <si>
    <t>FlgD Ig-like domain</t>
  </si>
  <si>
    <t>[62]</t>
  </si>
  <si>
    <t>fn3</t>
  </si>
  <si>
    <t>Fibronectin type III-like domain</t>
  </si>
  <si>
    <t>U5LBQ1</t>
  </si>
  <si>
    <t>fnbA</t>
  </si>
  <si>
    <t>Fibronectin-binding protein</t>
  </si>
  <si>
    <t>KHE29547.1</t>
  </si>
  <si>
    <t>glyD</t>
  </si>
  <si>
    <t>Glycosyltransferase GlyD</t>
  </si>
  <si>
    <t>gpr</t>
  </si>
  <si>
    <t>L-glyceraldehyde 3-phosphate reductase</t>
  </si>
  <si>
    <t>VTZ89322.1</t>
  </si>
  <si>
    <t>gtfA</t>
  </si>
  <si>
    <t>glucosyltransferase</t>
  </si>
  <si>
    <t xml:space="preserve">AYP74780.1 </t>
  </si>
  <si>
    <t>hag</t>
  </si>
  <si>
    <t>Flagellin</t>
  </si>
  <si>
    <t>inu</t>
  </si>
  <si>
    <t>Inulosucrase</t>
  </si>
  <si>
    <t>VTZ93657.1</t>
  </si>
  <si>
    <t>lamA</t>
  </si>
  <si>
    <t>F9ULD5</t>
  </si>
  <si>
    <t>lsp</t>
  </si>
  <si>
    <t>Large surface protein</t>
  </si>
  <si>
    <t>lspA</t>
  </si>
  <si>
    <t>Lipoprotein signal peptidase</t>
  </si>
  <si>
    <t>lspD</t>
  </si>
  <si>
    <t>Large surface protein, putative mucus-binding protein</t>
  </si>
  <si>
    <t>malP</t>
  </si>
  <si>
    <t>Maltose phosphorylase</t>
  </si>
  <si>
    <t>GMB71043.1</t>
  </si>
  <si>
    <t xml:space="preserve">mmpl </t>
  </si>
  <si>
    <t>Putative integral membrane proteins (Lipid transport)</t>
  </si>
  <si>
    <t>msa</t>
  </si>
  <si>
    <t>Mannose-specific adhesin</t>
  </si>
  <si>
    <t xml:space="preserve">EHS83650.1 </t>
  </si>
  <si>
    <t>mub</t>
  </si>
  <si>
    <t>Mucus-binding protein</t>
  </si>
  <si>
    <t>WOH41266.1</t>
  </si>
  <si>
    <t>pglC</t>
  </si>
  <si>
    <t>Undecaprenyl phosphate N,N′-diacetylbacillosamine 1-phosphate transferase</t>
  </si>
  <si>
    <t>VTZ97717.1</t>
  </si>
  <si>
    <t>pycA</t>
  </si>
  <si>
    <t>Pyruvate carboxylase</t>
  </si>
  <si>
    <t>slpA</t>
  </si>
  <si>
    <t>S-layer protein</t>
  </si>
  <si>
    <t xml:space="preserve">tim </t>
  </si>
  <si>
    <t>Glycosyl hydrolases family 2, TIM barrel domain</t>
  </si>
  <si>
    <t>tuf</t>
  </si>
  <si>
    <t>Elongation factor Tu</t>
  </si>
  <si>
    <t>WP_005685646.1</t>
  </si>
  <si>
    <t>wbbI</t>
  </si>
  <si>
    <t>Beta-1,6-galactofuranosyltransferase WbbI</t>
  </si>
  <si>
    <t>VTZ93397.1</t>
  </si>
  <si>
    <t>ywpE</t>
  </si>
  <si>
    <t>Putative sortase YwpE</t>
  </si>
  <si>
    <t>cpsH</t>
  </si>
  <si>
    <t>Lactic acid bacteria</t>
  </si>
  <si>
    <t>A0A7Y7QEU6</t>
  </si>
  <si>
    <t>Exopolysaccharide biosynthesis</t>
  </si>
  <si>
    <t>[73]</t>
  </si>
  <si>
    <t>cpsJ</t>
  </si>
  <si>
    <t>A0AA87LPD0</t>
  </si>
  <si>
    <t>cysE</t>
  </si>
  <si>
    <t>Serine O-acetyltransferase</t>
  </si>
  <si>
    <t xml:space="preserve">ARW34239.1 </t>
  </si>
  <si>
    <t>[64]</t>
  </si>
  <si>
    <t>epsA</t>
  </si>
  <si>
    <t>Protein tyrosine kinase modulator</t>
  </si>
  <si>
    <t>epsB</t>
  </si>
  <si>
    <t>Protein-tyrosine kinase</t>
  </si>
  <si>
    <t>KFL88978.1</t>
  </si>
  <si>
    <t>epsD</t>
  </si>
  <si>
    <t>Putative glycosyltransferase EpsD</t>
  </si>
  <si>
    <t>GMB71190.1</t>
  </si>
  <si>
    <t>epsE</t>
  </si>
  <si>
    <t>RNE46567.1</t>
  </si>
  <si>
    <t>epsF</t>
  </si>
  <si>
    <t>Putative glycosyltransferase EpsF</t>
  </si>
  <si>
    <t>epsH</t>
  </si>
  <si>
    <t>Putative glycosyltransferase EpsH</t>
  </si>
  <si>
    <t>epsL</t>
  </si>
  <si>
    <t>Putative sugar transferase EpsL</t>
  </si>
  <si>
    <t xml:space="preserve">ARW40633.1 </t>
  </si>
  <si>
    <t>epsM</t>
  </si>
  <si>
    <t>Putative acetyltransferase EpsM</t>
  </si>
  <si>
    <t>ARW40632.1</t>
  </si>
  <si>
    <t>epsN</t>
  </si>
  <si>
    <t>Putative pyridoxal phosphate-dependent aminotransferase EpsN</t>
  </si>
  <si>
    <t>ARW40631.1</t>
  </si>
  <si>
    <t>galE</t>
  </si>
  <si>
    <t>UDP-glucose 4-epimerase</t>
  </si>
  <si>
    <t xml:space="preserve">BBA82089.1 </t>
  </si>
  <si>
    <t>galU</t>
  </si>
  <si>
    <t>UTP--glucose-1-phosphate uridylyltransferase</t>
  </si>
  <si>
    <t xml:space="preserve">BBA81311.1 </t>
  </si>
  <si>
    <t>gatB</t>
  </si>
  <si>
    <t>[68]</t>
  </si>
  <si>
    <t>glmU</t>
  </si>
  <si>
    <t xml:space="preserve">Bifunctional UDP-N-acetylglucosamine pyrophosphorylase </t>
  </si>
  <si>
    <t>Q88Z86.1</t>
  </si>
  <si>
    <t>licD</t>
  </si>
  <si>
    <t>Lipopolysaccharide cholinephosphotransferase</t>
  </si>
  <si>
    <t>GIQ93404.1</t>
  </si>
  <si>
    <t>manA</t>
  </si>
  <si>
    <t>Mannose-6-phosphate isomerase</t>
  </si>
  <si>
    <t>BBA82995.1</t>
  </si>
  <si>
    <t>pgaC</t>
  </si>
  <si>
    <t>Poly-beta-1,6-N-acetyl-D-glucosamine synthase</t>
  </si>
  <si>
    <t>WPW66308.1</t>
  </si>
  <si>
    <t>wecA</t>
  </si>
  <si>
    <t>UDP-GlcNAc:undecaprenyl-phosphate/decaprenyl-phosphate GlcNAc-1-phosphate transferase</t>
  </si>
  <si>
    <t>wecB</t>
  </si>
  <si>
    <t>UDP-N-acetylglucosamine 2-epimerase (non-hydrolysing)</t>
  </si>
  <si>
    <t>wzb</t>
  </si>
  <si>
    <t>Phospgotyrosine protein phosphatase</t>
  </si>
  <si>
    <t xml:space="preserve">OAU66500.1 </t>
  </si>
  <si>
    <t>wzx</t>
  </si>
  <si>
    <t>Wzx flippase</t>
  </si>
  <si>
    <t>ACN94850.1</t>
  </si>
  <si>
    <t>wzy</t>
  </si>
  <si>
    <t>Wzy polymerase</t>
  </si>
  <si>
    <t>ACN94848.1</t>
  </si>
  <si>
    <t>YwqC</t>
  </si>
  <si>
    <t>Polysaccharide biosynthesis protein</t>
  </si>
  <si>
    <t>A0A2R7ZYW1</t>
  </si>
  <si>
    <t xml:space="preserve">Exopolysaccharide biosynthesis </t>
  </si>
  <si>
    <t>Polysaccharide biosynthesis C-terminal domain-containing protein</t>
  </si>
  <si>
    <t>WQE70373.1</t>
  </si>
  <si>
    <t>Polysaccharide transporter, PST family</t>
  </si>
  <si>
    <t>cpdA</t>
  </si>
  <si>
    <t>3',5'-cyclic-AMP phosphodiesterase</t>
  </si>
  <si>
    <t>Biofilm formation</t>
  </si>
  <si>
    <t>crr</t>
  </si>
  <si>
    <t>Sugar PTS system EIIA component</t>
  </si>
  <si>
    <t>CDN28543.1</t>
  </si>
  <si>
    <t>glgA</t>
  </si>
  <si>
    <t>Starch synthase</t>
  </si>
  <si>
    <t>ARW34040.1</t>
  </si>
  <si>
    <t>glgC</t>
  </si>
  <si>
    <t>Glucose-1-phosphate adenylyltransferase</t>
  </si>
  <si>
    <t>glgP</t>
  </si>
  <si>
    <t>Glycogen phosphorylase</t>
  </si>
  <si>
    <t>rpoN</t>
  </si>
  <si>
    <t>RNA polymerase sigma-54 factor</t>
  </si>
  <si>
    <t>ARW34684.1</t>
  </si>
  <si>
    <t>trpE</t>
  </si>
  <si>
    <t>Anthranilate synthase component I</t>
  </si>
  <si>
    <t>KAF1285217.1</t>
  </si>
  <si>
    <t>trpG</t>
  </si>
  <si>
    <t>Anthranilate synthase component II</t>
  </si>
  <si>
    <t>AGO07954.1</t>
  </si>
  <si>
    <t>celB</t>
  </si>
  <si>
    <t>PTS system, cellobiose-specific EIIC component</t>
  </si>
  <si>
    <t xml:space="preserve">Lactobacillus plantarum </t>
  </si>
  <si>
    <t>Gut persistance</t>
  </si>
  <si>
    <t>[58, 63]</t>
  </si>
  <si>
    <t>treA</t>
  </si>
  <si>
    <t>Trehalose-6-phosphate hydrolase</t>
  </si>
  <si>
    <t>xylA</t>
  </si>
  <si>
    <t>Xylose isomerase</t>
  </si>
  <si>
    <t>abpT</t>
  </si>
  <si>
    <t>Putative ABC exporter for bacteriocin Abp118</t>
  </si>
  <si>
    <t>Antimicrobial activity</t>
  </si>
  <si>
    <t>labT</t>
  </si>
  <si>
    <t>Putative ABC exporter for lactacin B</t>
  </si>
  <si>
    <t>Aliphatic sulfonate ABC transporter substrate-binding protein SpaC</t>
  </si>
  <si>
    <t>A0A7M4DTX6</t>
  </si>
  <si>
    <t>Imunomodulation</t>
  </si>
  <si>
    <t>Cell surface protein SpaB</t>
  </si>
  <si>
    <t>VTU62600.1</t>
  </si>
  <si>
    <t>Isopeptide-forming pilin-related protein SpaA</t>
  </si>
  <si>
    <t>XBD26475.1</t>
  </si>
  <si>
    <t>btuD</t>
  </si>
  <si>
    <t>Vitamin B12 import ATP-binding protein BtuD</t>
  </si>
  <si>
    <t>A0A139MA59</t>
  </si>
  <si>
    <t>Biosynthesis of vitamins</t>
  </si>
  <si>
    <t>cobB</t>
  </si>
  <si>
    <t>NAD-dependent protein deacetylase</t>
  </si>
  <si>
    <t>GMB71347.1</t>
  </si>
  <si>
    <t>cobC</t>
  </si>
  <si>
    <t>Adenosylcobalamin/alpha-ribazole phosphatase</t>
  </si>
  <si>
    <t>SSA28505.1</t>
  </si>
  <si>
    <t>folA</t>
  </si>
  <si>
    <t>Dihydrofolate reductase</t>
  </si>
  <si>
    <t>folB</t>
  </si>
  <si>
    <t>Dihydroneopterin aldolase</t>
  </si>
  <si>
    <t>[65]</t>
  </si>
  <si>
    <t>folC</t>
  </si>
  <si>
    <t>Tetrahydrofolate synthase</t>
  </si>
  <si>
    <t>A0A0G9F970</t>
  </si>
  <si>
    <t>folE</t>
  </si>
  <si>
    <t>folK</t>
  </si>
  <si>
    <t>folP</t>
  </si>
  <si>
    <t>Dihydropteroate synthase</t>
  </si>
  <si>
    <t>folQ</t>
  </si>
  <si>
    <t>Probable DHNTP pyrophosphohydrolase</t>
  </si>
  <si>
    <t>D8KIT5</t>
  </si>
  <si>
    <t>folT</t>
  </si>
  <si>
    <t>Folate transporter FolT</t>
  </si>
  <si>
    <t>GMB71600.1</t>
  </si>
  <si>
    <t>ribF</t>
  </si>
  <si>
    <t>Bifunctional riboflavin kinase/FMN adenylyltransferase</t>
  </si>
  <si>
    <t>WP_047676482.1</t>
  </si>
  <si>
    <t>ribU</t>
  </si>
  <si>
    <t>Riboflavin transporter RibU</t>
  </si>
  <si>
    <t>VTZ95532.1</t>
  </si>
  <si>
    <t>ribZ</t>
  </si>
  <si>
    <t>Riboflavin transporter RibZ</t>
  </si>
  <si>
    <t>SSA27157.1</t>
  </si>
  <si>
    <t>ytrB</t>
  </si>
  <si>
    <t>Vitamin B12 import ATP-binding protein</t>
  </si>
  <si>
    <t>A0A6N2Y2U5</t>
  </si>
  <si>
    <t>ansA</t>
  </si>
  <si>
    <t>Asparaginase</t>
  </si>
  <si>
    <t>WP_152580025.1</t>
  </si>
  <si>
    <t>Acid stress</t>
  </si>
  <si>
    <t>[69]</t>
  </si>
  <si>
    <t>ddl</t>
  </si>
  <si>
    <t>D-alanine--D-alanine ligase</t>
  </si>
  <si>
    <t>ffh</t>
  </si>
  <si>
    <t>Signal recognition particle protein</t>
  </si>
  <si>
    <t>B6ECI9</t>
  </si>
  <si>
    <t>[60]</t>
  </si>
  <si>
    <t>gadB</t>
  </si>
  <si>
    <t>Glutamate decarboxylase</t>
  </si>
  <si>
    <t>[72]</t>
  </si>
  <si>
    <t>gadC</t>
  </si>
  <si>
    <t>Glutamate/γ-aminobutyrate antiporter</t>
  </si>
  <si>
    <t>gap</t>
  </si>
  <si>
    <t>Glyceraldehyde-3-phosphate dehydrogenase</t>
  </si>
  <si>
    <t>glc</t>
  </si>
  <si>
    <t>Gamma-glutamylcysteine synthetase</t>
  </si>
  <si>
    <t>PWH09581.1</t>
  </si>
  <si>
    <t>gpmB/pspA</t>
  </si>
  <si>
    <t>Histidine phosphatase family protein</t>
  </si>
  <si>
    <t>TRW71625.1</t>
  </si>
  <si>
    <t>[66]</t>
  </si>
  <si>
    <t>guaA</t>
  </si>
  <si>
    <t>GMP synthase [glutamine-hydrolyzing]</t>
  </si>
  <si>
    <t>[63, 66]</t>
  </si>
  <si>
    <t>ldh</t>
  </si>
  <si>
    <t>L-lactate dehydrogenase 1</t>
  </si>
  <si>
    <t>odcl</t>
  </si>
  <si>
    <t>Ornithine decarboxylase</t>
  </si>
  <si>
    <t>[59]</t>
  </si>
  <si>
    <t>pgi</t>
  </si>
  <si>
    <t>Glucose-6-phosphate isomerase</t>
  </si>
  <si>
    <t>plsC</t>
  </si>
  <si>
    <t>1-acylglycerol-3-phosphate O-acyltransferase</t>
  </si>
  <si>
    <t>ppk</t>
  </si>
  <si>
    <t>Polyphosphate kinase</t>
  </si>
  <si>
    <t>WP_033519427.1</t>
  </si>
  <si>
    <t>pyk</t>
  </si>
  <si>
    <t>Pyruvate kinase</t>
  </si>
  <si>
    <t>relA</t>
  </si>
  <si>
    <t>GTP pyrophosphokinase</t>
  </si>
  <si>
    <t>[63, 67]</t>
  </si>
  <si>
    <t>tig</t>
  </si>
  <si>
    <t>Trigger factor</t>
  </si>
  <si>
    <t>[57]</t>
  </si>
  <si>
    <t>tpiA</t>
  </si>
  <si>
    <t>Triosephosphate isomerase</t>
  </si>
  <si>
    <t>uvrA</t>
  </si>
  <si>
    <t>UvrABC system protein A</t>
  </si>
  <si>
    <t>yjbM</t>
  </si>
  <si>
    <t>GTP diphosphokinase</t>
  </si>
  <si>
    <t>SPS12744.1</t>
  </si>
  <si>
    <t>ywaC</t>
  </si>
  <si>
    <t>Formyl-CoA transferase</t>
  </si>
  <si>
    <t>WP_347011988.1</t>
  </si>
  <si>
    <t>Oxalyl-CoA decarboxylase</t>
  </si>
  <si>
    <t>TFZ23727.1</t>
  </si>
  <si>
    <t>argS</t>
  </si>
  <si>
    <t>Arginine--tRNA ligase</t>
  </si>
  <si>
    <t>Bile tolerance</t>
  </si>
  <si>
    <t>bbmR</t>
  </si>
  <si>
    <t>A0AAI8EVG9</t>
  </si>
  <si>
    <t>bmrA</t>
  </si>
  <si>
    <t>K0NBW3</t>
  </si>
  <si>
    <t>brpA</t>
  </si>
  <si>
    <t>Biofilm regulatory protein A</t>
  </si>
  <si>
    <t>VTZ94870.1</t>
  </si>
  <si>
    <t>bshA</t>
  </si>
  <si>
    <t>Bile salt hydrolase</t>
  </si>
  <si>
    <t>ACL98175.1</t>
  </si>
  <si>
    <t>cbh</t>
  </si>
  <si>
    <t>Choloylglycine hydrolase family protein</t>
  </si>
  <si>
    <t>cfa</t>
  </si>
  <si>
    <t>Cyclopropane-fatty-acyl-phospholipid synthase</t>
  </si>
  <si>
    <t xml:space="preserve">GMB71742.1 </t>
  </si>
  <si>
    <t>ctr</t>
  </si>
  <si>
    <t>Cholate transporter</t>
  </si>
  <si>
    <t>BAP83215.1</t>
  </si>
  <si>
    <t>[61]</t>
  </si>
  <si>
    <t>dps</t>
  </si>
  <si>
    <t>DNA protection during starvation protein</t>
  </si>
  <si>
    <t>ABS84217.1</t>
  </si>
  <si>
    <t>glf</t>
  </si>
  <si>
    <t>UDP-galactopyranose mutase</t>
  </si>
  <si>
    <t>glnA</t>
  </si>
  <si>
    <t>Glutamine synthetase</t>
  </si>
  <si>
    <t>ltaS1</t>
  </si>
  <si>
    <t>Lipoteichoic acid synthase 1</t>
  </si>
  <si>
    <t>nagB</t>
  </si>
  <si>
    <t>Glucosamine-6-phosphate deaminase</t>
  </si>
  <si>
    <t>oppA</t>
  </si>
  <si>
    <t>Oligopeptide–binding protein OppA</t>
  </si>
  <si>
    <t>pdhd/lpdA</t>
  </si>
  <si>
    <t>Dihydrolipoyl dehydrogenase</t>
  </si>
  <si>
    <t>pepF</t>
  </si>
  <si>
    <t>Oligoendopeptidase F</t>
  </si>
  <si>
    <t>pepO</t>
  </si>
  <si>
    <t>Endopeptidase PepO</t>
  </si>
  <si>
    <t>VDH10529.1</t>
  </si>
  <si>
    <t>pepP</t>
  </si>
  <si>
    <t>Aminopeptidase P family protein</t>
  </si>
  <si>
    <t>WP_007052570.1</t>
  </si>
  <si>
    <t>ponA/pbp1A</t>
  </si>
  <si>
    <t xml:space="preserve"> DD-transpeptidase / Penicillin-sensitive transpeptidase /  Penicillin-binding protein 1A</t>
  </si>
  <si>
    <t>ppaC</t>
  </si>
  <si>
    <t>Putative manganese-dependent inorganic pyrophosphatase</t>
  </si>
  <si>
    <t>VTZ96850.1</t>
  </si>
  <si>
    <t>Transglycosylase-associated protein</t>
  </si>
  <si>
    <t>cspA</t>
  </si>
  <si>
    <t>Cold-shock protein</t>
  </si>
  <si>
    <t xml:space="preserve">WP_065463984.1 </t>
  </si>
  <si>
    <t>Cold stress</t>
  </si>
  <si>
    <t>cspB</t>
  </si>
  <si>
    <t>Cold shock protein</t>
  </si>
  <si>
    <t>WP_003155376.1</t>
  </si>
  <si>
    <t>cspC</t>
  </si>
  <si>
    <t>WP_003156143.1</t>
  </si>
  <si>
    <t>cspD</t>
  </si>
  <si>
    <t>cspLA</t>
  </si>
  <si>
    <t>Cold shock-like protein CspLA</t>
  </si>
  <si>
    <t>SSA27742.1</t>
  </si>
  <si>
    <t>npr</t>
  </si>
  <si>
    <t>NADH peroxidase</t>
  </si>
  <si>
    <t>VTZ94172.1</t>
  </si>
  <si>
    <t>ctsR</t>
  </si>
  <si>
    <t>Transcriptional regulator CtsR</t>
  </si>
  <si>
    <t>SSA27692.1</t>
  </si>
  <si>
    <t>Heat stress</t>
  </si>
  <si>
    <t>hcrA</t>
  </si>
  <si>
    <t>Heat-inducible transcription repressor HrcA</t>
  </si>
  <si>
    <t>hslO</t>
  </si>
  <si>
    <t>Molecular chaperone Hsp33</t>
  </si>
  <si>
    <t>hslV</t>
  </si>
  <si>
    <t>ATP-dependent protease subunit HslV</t>
  </si>
  <si>
    <t>hsp20</t>
  </si>
  <si>
    <t>Hsp20/ alpha crystallin family protein</t>
  </si>
  <si>
    <t>WP_015438220.1</t>
  </si>
  <si>
    <t>hspR</t>
  </si>
  <si>
    <t>Helix-turn-helix transcriptional regulator</t>
  </si>
  <si>
    <t xml:space="preserve">WP_223261679.1 </t>
  </si>
  <si>
    <t>lexA</t>
  </si>
  <si>
    <t>Transcriptional repressor LexA</t>
  </si>
  <si>
    <t>recX</t>
  </si>
  <si>
    <t>Regulatory protein RecX</t>
  </si>
  <si>
    <t>WP_015438911.1</t>
  </si>
  <si>
    <t>rpoE</t>
  </si>
  <si>
    <t>RNA polymerase sigma factor</t>
  </si>
  <si>
    <t>WP_015438834.1</t>
  </si>
  <si>
    <t>ruvA</t>
  </si>
  <si>
    <t>Holliday junction ATP-dependent DNA helicase RuvA</t>
  </si>
  <si>
    <t>secA</t>
  </si>
  <si>
    <t>Preprotein translocase subunit SecA</t>
  </si>
  <si>
    <t>uspA</t>
  </si>
  <si>
    <t>Universal stress protein</t>
  </si>
  <si>
    <t>WWL92746.1</t>
  </si>
  <si>
    <t>sph</t>
  </si>
  <si>
    <t>Oleate hydratase</t>
  </si>
  <si>
    <t>WP_015438992.1</t>
  </si>
  <si>
    <t>Organic solvent stress</t>
  </si>
  <si>
    <t>ark</t>
  </si>
  <si>
    <t>Aldo/keto reductase</t>
  </si>
  <si>
    <t>Osmotic stress</t>
  </si>
  <si>
    <t>gbuA</t>
  </si>
  <si>
    <t>Glycine betaine/carnitine transport ATP-binding protein GbuA</t>
  </si>
  <si>
    <t>gbuB</t>
  </si>
  <si>
    <t>Glycine betaine/carnitine transport permease protein GbuB</t>
  </si>
  <si>
    <t>SPS11804.1</t>
  </si>
  <si>
    <t>gla</t>
  </si>
  <si>
    <t>Glycerol facilitator–aquaporin gla</t>
  </si>
  <si>
    <t>glpF</t>
  </si>
  <si>
    <t>Aquaporin family protein</t>
  </si>
  <si>
    <t>iolS</t>
  </si>
  <si>
    <t>General stress protein 69</t>
  </si>
  <si>
    <t>GEL84046.1</t>
  </si>
  <si>
    <t>opuA</t>
  </si>
  <si>
    <t>Glycine betaine ABC transport system, ATP-binding protein OpuAA (EC 3.6.3.32)</t>
  </si>
  <si>
    <t>Q9KIF7</t>
  </si>
  <si>
    <t>[71]</t>
  </si>
  <si>
    <t>opuAB</t>
  </si>
  <si>
    <t>Glycine betaine ABC transport system, permease protein OpuAB</t>
  </si>
  <si>
    <t>opuCB</t>
  </si>
  <si>
    <t>Glycine betaine/carnitine/choline transport system permease protein OpuCB</t>
  </si>
  <si>
    <t>PLW60838.1</t>
  </si>
  <si>
    <t>osmV</t>
  </si>
  <si>
    <t>Osmoprotectant import ATP-binding protein OsmV</t>
  </si>
  <si>
    <t xml:space="preserve">PLW60837.1 </t>
  </si>
  <si>
    <t>ahpC</t>
  </si>
  <si>
    <t>Peroxiredoxin</t>
  </si>
  <si>
    <t>Oxidative stress</t>
  </si>
  <si>
    <t>cydA</t>
  </si>
  <si>
    <t>Cytochrome ubiquinol oxidade subunit I</t>
  </si>
  <si>
    <t>cydB</t>
  </si>
  <si>
    <t>Cytochrome d ubiquinol oxidade subunit II</t>
  </si>
  <si>
    <t>WP_015021326.1</t>
  </si>
  <si>
    <t>cydC</t>
  </si>
  <si>
    <t>Thiol reductant ABC exporter subunit CydC</t>
  </si>
  <si>
    <t>cydD</t>
  </si>
  <si>
    <t>ABD-transporter ATP-binding protein/permease</t>
  </si>
  <si>
    <t>WP_099327362.1</t>
  </si>
  <si>
    <t>hemN</t>
  </si>
  <si>
    <t>Radical SAM family heme chaperone HemW</t>
  </si>
  <si>
    <t>WP_008783712.1</t>
  </si>
  <si>
    <t>msr</t>
  </si>
  <si>
    <t>Methionine sulfoxide reductase</t>
  </si>
  <si>
    <t>WP_162899813.1</t>
  </si>
  <si>
    <t>msrA</t>
  </si>
  <si>
    <t>Peptide methionine sulfoxide reductase MsrA</t>
  </si>
  <si>
    <t>SSA29564.1</t>
  </si>
  <si>
    <t>msrB</t>
  </si>
  <si>
    <t>Peptide methionine sulfoxide reductase MsrB</t>
  </si>
  <si>
    <t>msrC</t>
  </si>
  <si>
    <t>Free methionine-R-sulfoxide reductase</t>
  </si>
  <si>
    <t>VTZ95715.1</t>
  </si>
  <si>
    <t>npox</t>
  </si>
  <si>
    <t>Nitroreductase family protein</t>
  </si>
  <si>
    <t>WP_012578666.1</t>
  </si>
  <si>
    <t>pox5</t>
  </si>
  <si>
    <t>Pyruvate oxidase</t>
  </si>
  <si>
    <t>WP_152580610.1</t>
  </si>
  <si>
    <t>sdhA</t>
  </si>
  <si>
    <t>FAD-dependent oxidoreductase</t>
  </si>
  <si>
    <t>WP_033511903.1</t>
  </si>
  <si>
    <t>sdhB</t>
  </si>
  <si>
    <t>4Fe-4S dicluster domain-contaning protein</t>
  </si>
  <si>
    <t>WP_033511913.1</t>
  </si>
  <si>
    <t>trxA</t>
  </si>
  <si>
    <t>Thioredoxin</t>
  </si>
  <si>
    <t>WP_005685527.1</t>
  </si>
  <si>
    <t>trxB</t>
  </si>
  <si>
    <t>Thioredoxin reductase</t>
  </si>
  <si>
    <t>[70]</t>
  </si>
  <si>
    <t>trxR</t>
  </si>
  <si>
    <t>WP_007056574.1</t>
  </si>
  <si>
    <t>yaaA</t>
  </si>
  <si>
    <t>Peroxide stress protein YaaA</t>
  </si>
  <si>
    <t>NADH dehydrogenase</t>
  </si>
  <si>
    <t>KJY65681.1</t>
  </si>
  <si>
    <t>L-aspartate oxidase</t>
  </si>
  <si>
    <t>WP_015512139.1</t>
  </si>
  <si>
    <t>Glutathione peroxidase</t>
  </si>
  <si>
    <t>WP_304312408.1</t>
  </si>
  <si>
    <t>Superoxide dismutase</t>
  </si>
  <si>
    <t xml:space="preserve">WP_113852633.1 </t>
  </si>
  <si>
    <t>phoH</t>
  </si>
  <si>
    <t>Phosphate starvation-inducible protein</t>
  </si>
  <si>
    <t>Starvation</t>
  </si>
  <si>
    <t>[33]</t>
  </si>
  <si>
    <t>pstC</t>
  </si>
  <si>
    <t>Phosphate transporter</t>
  </si>
  <si>
    <t>A0A5P8JU76</t>
  </si>
  <si>
    <t>arcA</t>
  </si>
  <si>
    <t>Arginine deiminase</t>
  </si>
  <si>
    <t>Lactobacilli</t>
  </si>
  <si>
    <t>Q9K576</t>
  </si>
  <si>
    <t>Stress resistance</t>
  </si>
  <si>
    <t>arcB</t>
  </si>
  <si>
    <t>Ornithine carbamoyltransferase</t>
  </si>
  <si>
    <t>Lactiplantibacillus plantarum</t>
  </si>
  <si>
    <t>BBA81529.1</t>
  </si>
  <si>
    <t>arcC</t>
  </si>
  <si>
    <t>carbamate kinase</t>
  </si>
  <si>
    <t>O53090</t>
  </si>
  <si>
    <t>arcD</t>
  </si>
  <si>
    <t>Arginine/Ornithine antiporter</t>
  </si>
  <si>
    <t>clgR</t>
  </si>
  <si>
    <t>Transcriptional activator of Hsps</t>
  </si>
  <si>
    <t>clpB</t>
  </si>
  <si>
    <t>Chaperone protein ClpB</t>
  </si>
  <si>
    <t>clpC</t>
  </si>
  <si>
    <t>ATP-dependent Clp protease ATP-binding subunit ClpC</t>
  </si>
  <si>
    <t>clpE</t>
  </si>
  <si>
    <t>ATP-dependent Clp protease, ATP-binding subunit ClpE</t>
  </si>
  <si>
    <t>clpL</t>
  </si>
  <si>
    <t>ATP-dependent Clp protease ATP-binding subunit ClpL</t>
  </si>
  <si>
    <t xml:space="preserve">OUT05393.1 </t>
  </si>
  <si>
    <t>clpP</t>
  </si>
  <si>
    <t>Clp protease ClpP</t>
  </si>
  <si>
    <t>clpQ</t>
  </si>
  <si>
    <t>BET17608.1</t>
  </si>
  <si>
    <t>clpX</t>
  </si>
  <si>
    <t>ATP-dependent ClpX protease</t>
  </si>
  <si>
    <t>clpY</t>
  </si>
  <si>
    <t>copA</t>
  </si>
  <si>
    <t>Copper transporting ATPase</t>
  </si>
  <si>
    <t>csbD</t>
  </si>
  <si>
    <t>Stress response protein CsbD</t>
  </si>
  <si>
    <t>ctpE</t>
  </si>
  <si>
    <t>Cation-transporting P-type ATPase E</t>
  </si>
  <si>
    <t>dltA</t>
  </si>
  <si>
    <t>D-alanine--D-alanyl carrier protein ligase</t>
  </si>
  <si>
    <t>dltB</t>
  </si>
  <si>
    <t>Membrane protein involved in D-alanine export</t>
  </si>
  <si>
    <t>CDN28879.1</t>
  </si>
  <si>
    <t>dltC</t>
  </si>
  <si>
    <t>D-alanine—poly(phosphoribitol) ligase subunit</t>
  </si>
  <si>
    <t>dltD</t>
  </si>
  <si>
    <t>Protein DltD</t>
  </si>
  <si>
    <t>dnaJ</t>
  </si>
  <si>
    <t>Chaperone protein DnaJ</t>
  </si>
  <si>
    <t>WP_003640710.1</t>
  </si>
  <si>
    <t>dnaK</t>
  </si>
  <si>
    <t>Chaperone protein DnaK / HSP70</t>
  </si>
  <si>
    <t>eno2</t>
  </si>
  <si>
    <t>Enolase 2</t>
  </si>
  <si>
    <t>ftsY</t>
  </si>
  <si>
    <t>Signal recognition particle receptor FtsY</t>
  </si>
  <si>
    <t>WP_370928799.1</t>
  </si>
  <si>
    <t>gpmA</t>
  </si>
  <si>
    <t>2,3-Bisphosphoglycerate-dependent phosphoglycerate mutase</t>
  </si>
  <si>
    <t>groEL</t>
  </si>
  <si>
    <t>60 kDa chaperonin groEL</t>
  </si>
  <si>
    <t>QOC80327.1</t>
  </si>
  <si>
    <t>groES</t>
  </si>
  <si>
    <t>10 kDa chaperonin groES protein</t>
  </si>
  <si>
    <t>WP_003155970.1</t>
  </si>
  <si>
    <t>grpE</t>
  </si>
  <si>
    <t>Protein GrpE / HSP-70 cofactor</t>
  </si>
  <si>
    <t>hrdB/rpoD</t>
  </si>
  <si>
    <t>WP_015438903.1</t>
  </si>
  <si>
    <t>htrA</t>
  </si>
  <si>
    <t>Serine protease HtrA</t>
  </si>
  <si>
    <t>ImpB</t>
  </si>
  <si>
    <t>RBQ00146.1</t>
  </si>
  <si>
    <t>katA</t>
  </si>
  <si>
    <t>Catalase</t>
  </si>
  <si>
    <t>katE</t>
  </si>
  <si>
    <t>Catalase HPII</t>
  </si>
  <si>
    <t>ATU28637.1</t>
  </si>
  <si>
    <t>luxS</t>
  </si>
  <si>
    <t>S-ribosylhomocysteine lyase</t>
  </si>
  <si>
    <t>mutT</t>
  </si>
  <si>
    <t>Nucleoside triphosphate pyrophosphohydrolase</t>
  </si>
  <si>
    <t>A0A087BKY4</t>
  </si>
  <si>
    <t>mutY</t>
  </si>
  <si>
    <t>A/G-specific adenine DNA glycosylase</t>
  </si>
  <si>
    <t>WP_274784526.1</t>
  </si>
  <si>
    <t>nhaC</t>
  </si>
  <si>
    <t>Na+/H+ antiporter NhaC</t>
  </si>
  <si>
    <t>nhaK</t>
  </si>
  <si>
    <t>Monovalent cation/hydrogen antiporter</t>
  </si>
  <si>
    <t>BBA83682.1</t>
  </si>
  <si>
    <t>nhaX</t>
  </si>
  <si>
    <t>Stress response protein NhaX</t>
  </si>
  <si>
    <t xml:space="preserve">GJJ25118.1 </t>
  </si>
  <si>
    <t>nox</t>
  </si>
  <si>
    <t>NADH oxidase</t>
  </si>
  <si>
    <t>WP_011068710.1</t>
  </si>
  <si>
    <t>pgk</t>
  </si>
  <si>
    <t>Phosphoglycerate kinase</t>
  </si>
  <si>
    <t>pyrD</t>
  </si>
  <si>
    <t>Dihydroorotate dehydrogenase</t>
  </si>
  <si>
    <t>WP_021648026.1</t>
  </si>
  <si>
    <t>pyrG</t>
  </si>
  <si>
    <t>CTP synthase</t>
  </si>
  <si>
    <t>pyrK</t>
  </si>
  <si>
    <t>Dihydroorotate dehydrogenase electron transfer unit</t>
  </si>
  <si>
    <t>WP_003813104.1</t>
  </si>
  <si>
    <t>ros</t>
  </si>
  <si>
    <t>WP_257989435.1</t>
  </si>
  <si>
    <t>samB</t>
  </si>
  <si>
    <t>KRN25141.1</t>
  </si>
  <si>
    <t>sigA</t>
  </si>
  <si>
    <t>RNA polymerase sigma factor SigA</t>
  </si>
  <si>
    <t>SPS15068.1</t>
  </si>
  <si>
    <t>strA</t>
  </si>
  <si>
    <t>Sortase A</t>
  </si>
  <si>
    <t>[58]</t>
  </si>
  <si>
    <t>uup</t>
  </si>
  <si>
    <t>ABC transport system ATP-binding/permease protein</t>
  </si>
  <si>
    <t xml:space="preserve">BBA82466.1 </t>
  </si>
  <si>
    <t>vraR</t>
  </si>
  <si>
    <t>Response regulator protein VraR</t>
  </si>
  <si>
    <t>QOY26150.1</t>
  </si>
  <si>
    <t>wblE</t>
  </si>
  <si>
    <t>WhiB family transcriptional regulator</t>
  </si>
  <si>
    <t>WP_003835265.1</t>
  </si>
  <si>
    <t>whiB</t>
  </si>
  <si>
    <t>WP_007051901.1</t>
  </si>
  <si>
    <t>yceC</t>
  </si>
  <si>
    <t>Stress response protein SCP2</t>
  </si>
  <si>
    <t>SIS25599.1</t>
  </si>
  <si>
    <t>Lysozyme-like</t>
  </si>
  <si>
    <t xml:space="preserve">SIR36975.1 </t>
  </si>
  <si>
    <t>ATP-binding cassette, subfamily F, member 3</t>
  </si>
  <si>
    <t xml:space="preserve">ARW34213.1 </t>
  </si>
  <si>
    <t>Cation-transporting P-type ATPase</t>
  </si>
  <si>
    <t>BBA82164.1</t>
  </si>
  <si>
    <t>H+-transporting ATPase</t>
  </si>
  <si>
    <t>ARW36029.1</t>
  </si>
  <si>
    <t>HAD-IC family P-type ATPase</t>
  </si>
  <si>
    <t>XCB13808.1</t>
  </si>
  <si>
    <t>Heavy metal translocating P-type ATPase</t>
  </si>
  <si>
    <t>WP_370926313.1</t>
  </si>
  <si>
    <t>Monovalent cation: H+ antiporter-2, CPA2 family</t>
  </si>
  <si>
    <t>CDN26992.1</t>
  </si>
  <si>
    <r>
      <t xml:space="preserve">Lacticaseibacillus rhamnosus </t>
    </r>
    <r>
      <rPr>
        <sz val="11"/>
        <color rgb="FF000000"/>
        <rFont val="Calibri"/>
        <family val="2"/>
        <scheme val="minor"/>
      </rPr>
      <t>SD4</t>
    </r>
  </si>
  <si>
    <r>
      <rPr>
        <i/>
        <sz val="11"/>
        <color rgb="FF000000"/>
        <rFont val="Calibri"/>
        <family val="2"/>
        <scheme val="minor"/>
      </rPr>
      <t>L. acidophilus</t>
    </r>
    <r>
      <rPr>
        <sz val="11"/>
        <color rgb="FF000000"/>
        <rFont val="Calibri"/>
        <family val="2"/>
        <scheme val="minor"/>
      </rPr>
      <t xml:space="preserve"> NCFM</t>
    </r>
  </si>
  <si>
    <t>AAS59159.1</t>
  </si>
  <si>
    <r>
      <rPr>
        <i/>
        <sz val="11"/>
        <color theme="1"/>
        <rFont val="Calibri"/>
        <family val="2"/>
        <scheme val="minor"/>
      </rPr>
      <t>Lactobacillus plantarum</t>
    </r>
    <r>
      <rPr>
        <sz val="11"/>
        <color theme="1"/>
        <rFont val="Calibri"/>
        <family val="2"/>
        <scheme val="minor"/>
      </rPr>
      <t xml:space="preserve"> (strain ATCC BAA-793 / NCIMB 8826 / WCFS1)</t>
    </r>
  </si>
  <si>
    <t>WP_003643984.1</t>
  </si>
  <si>
    <r>
      <t xml:space="preserve">Lacticaseibacillus rhamnosus </t>
    </r>
    <r>
      <rPr>
        <sz val="11"/>
        <color rgb="FF000000"/>
        <rFont val="Calibri"/>
        <family val="2"/>
        <scheme val="minor"/>
      </rPr>
      <t>SD4/SD11</t>
    </r>
  </si>
  <si>
    <r>
      <rPr>
        <i/>
        <sz val="11"/>
        <color theme="1"/>
        <rFont val="Calibri"/>
        <family val="2"/>
        <scheme val="minor"/>
      </rPr>
      <t xml:space="preserve">Bacillus amyloliquefaciens </t>
    </r>
    <r>
      <rPr>
        <sz val="11"/>
        <color theme="1"/>
        <rFont val="Calibri"/>
        <family val="2"/>
        <scheme val="minor"/>
      </rPr>
      <t>78-1</t>
    </r>
  </si>
  <si>
    <t>WP_007409782.1</t>
  </si>
  <si>
    <r>
      <rPr>
        <i/>
        <sz val="11"/>
        <color theme="1"/>
        <rFont val="Calibri"/>
        <family val="2"/>
        <scheme val="minor"/>
      </rPr>
      <t>Bacillus infantis</t>
    </r>
    <r>
      <rPr>
        <sz val="11"/>
        <color theme="1"/>
        <rFont val="Calibri"/>
        <family val="2"/>
        <scheme val="minor"/>
      </rPr>
      <t xml:space="preserve"> 63-11</t>
    </r>
  </si>
  <si>
    <r>
      <t xml:space="preserve">Lacticaseibacillus rhamnosus </t>
    </r>
    <r>
      <rPr>
        <sz val="11"/>
        <color rgb="FF000000"/>
        <rFont val="Calibri"/>
        <family val="2"/>
        <scheme val="minor"/>
      </rPr>
      <t>SD11</t>
    </r>
  </si>
  <si>
    <t>UFK67918.1</t>
  </si>
  <si>
    <r>
      <rPr>
        <i/>
        <sz val="11"/>
        <color rgb="FF000000"/>
        <rFont val="Calibri"/>
        <family val="2"/>
        <scheme val="minor"/>
      </rPr>
      <t xml:space="preserve">L. reuteri </t>
    </r>
    <r>
      <rPr>
        <sz val="11"/>
        <color rgb="FF000000"/>
        <rFont val="Calibri"/>
        <family val="2"/>
        <scheme val="minor"/>
      </rPr>
      <t>TMW1.106</t>
    </r>
  </si>
  <si>
    <t>WP_257992428.1</t>
  </si>
  <si>
    <r>
      <rPr>
        <i/>
        <sz val="11"/>
        <color rgb="FF000000"/>
        <rFont val="Calibri"/>
        <family val="2"/>
        <scheme val="minor"/>
      </rPr>
      <t xml:space="preserve">L. plantarum </t>
    </r>
    <r>
      <rPr>
        <sz val="11"/>
        <color rgb="FF000000"/>
        <rFont val="Calibri"/>
        <family val="2"/>
        <scheme val="minor"/>
      </rPr>
      <t>WCFS1</t>
    </r>
  </si>
  <si>
    <r>
      <rPr>
        <i/>
        <sz val="11"/>
        <color rgb="FF000000"/>
        <rFont val="Calibri"/>
        <family val="2"/>
        <scheme val="minor"/>
      </rPr>
      <t>L. reuteri</t>
    </r>
    <r>
      <rPr>
        <sz val="11"/>
        <color rgb="FF000000"/>
        <rFont val="Calibri"/>
        <family val="2"/>
        <scheme val="minor"/>
      </rPr>
      <t xml:space="preserve"> 100-23</t>
    </r>
  </si>
  <si>
    <t>AAT98629.1</t>
  </si>
  <si>
    <t>WP_003640508.1</t>
  </si>
  <si>
    <r>
      <rPr>
        <i/>
        <sz val="11"/>
        <color rgb="FF000000"/>
        <rFont val="Calibri"/>
        <family val="2"/>
        <scheme val="minor"/>
      </rPr>
      <t xml:space="preserve">L. salivarus </t>
    </r>
    <r>
      <rPr>
        <sz val="11"/>
        <color rgb="FF000000"/>
        <rFont val="Calibri"/>
        <family val="2"/>
        <scheme val="minor"/>
      </rPr>
      <t>UCC18</t>
    </r>
  </si>
  <si>
    <t>ABE00644.1</t>
  </si>
  <si>
    <r>
      <rPr>
        <i/>
        <sz val="11"/>
        <color theme="1"/>
        <rFont val="Calibri"/>
        <family val="2"/>
        <scheme val="minor"/>
      </rPr>
      <t>Bacillus infantis</t>
    </r>
    <r>
      <rPr>
        <sz val="11"/>
        <color theme="1"/>
        <rFont val="Calibri"/>
        <family val="2"/>
        <scheme val="minor"/>
      </rPr>
      <t xml:space="preserve"> 63-11/</t>
    </r>
    <r>
      <rPr>
        <i/>
        <sz val="11"/>
        <color theme="1"/>
        <rFont val="Calibri"/>
        <family val="2"/>
        <scheme val="minor"/>
      </rPr>
      <t>Bacillus amyloliquefaciens</t>
    </r>
    <r>
      <rPr>
        <sz val="11"/>
        <color theme="1"/>
        <rFont val="Calibri"/>
        <family val="2"/>
        <scheme val="minor"/>
      </rPr>
      <t xml:space="preserve"> 78-1</t>
    </r>
  </si>
  <si>
    <t>WP_257992342.1</t>
  </si>
  <si>
    <r>
      <rPr>
        <i/>
        <sz val="11"/>
        <color theme="1"/>
        <rFont val="Calibri"/>
        <family val="2"/>
        <scheme val="minor"/>
      </rPr>
      <t xml:space="preserve">Lactobacillus plantarum </t>
    </r>
    <r>
      <rPr>
        <sz val="11"/>
        <color theme="1"/>
        <rFont val="Calibri"/>
        <family val="2"/>
        <scheme val="minor"/>
      </rPr>
      <t>(strain ATCC BAA-793 / NCIMB 8826 / WCFS1)</t>
    </r>
  </si>
  <si>
    <t>WP_011101664.1</t>
  </si>
  <si>
    <t>WP_011254065.1</t>
  </si>
  <si>
    <t>WP_336990457.1</t>
  </si>
  <si>
    <t>VTU62294.1</t>
  </si>
  <si>
    <r>
      <rPr>
        <i/>
        <sz val="11"/>
        <color rgb="FF000000"/>
        <rFont val="Calibri"/>
        <family val="2"/>
        <scheme val="minor"/>
      </rPr>
      <t>Lactiplantibacillus plantarum</t>
    </r>
    <r>
      <rPr>
        <sz val="11"/>
        <color rgb="FF000000"/>
        <rFont val="Calibri"/>
        <family val="2"/>
        <scheme val="minor"/>
      </rPr>
      <t xml:space="preserve"> JS21</t>
    </r>
  </si>
  <si>
    <t>KKJ81023.1</t>
  </si>
  <si>
    <t>EHJ30283.1</t>
  </si>
  <si>
    <t>SSA28768.1</t>
  </si>
  <si>
    <r>
      <rPr>
        <i/>
        <sz val="11"/>
        <color rgb="FF000000"/>
        <rFont val="Calibri"/>
        <family val="2"/>
        <scheme val="minor"/>
      </rPr>
      <t xml:space="preserve">Lactiplantibacillus plantarum </t>
    </r>
    <r>
      <rPr>
        <sz val="11"/>
        <color rgb="FF000000"/>
        <rFont val="Calibri"/>
        <family val="2"/>
        <scheme val="minor"/>
      </rPr>
      <t>JS21</t>
    </r>
  </si>
  <si>
    <r>
      <t xml:space="preserve">Weissella paramesenteroides </t>
    </r>
    <r>
      <rPr>
        <sz val="11"/>
        <color rgb="FF000000"/>
        <rFont val="Calibri"/>
        <family val="2"/>
        <scheme val="minor"/>
      </rPr>
      <t>UFTM 2.6.1</t>
    </r>
  </si>
  <si>
    <t>WCL68014.1</t>
  </si>
  <si>
    <t>XGU24435.1</t>
  </si>
  <si>
    <r>
      <rPr>
        <i/>
        <sz val="11"/>
        <color rgb="FF000000"/>
        <rFont val="Calibri"/>
        <family val="2"/>
        <scheme val="minor"/>
      </rPr>
      <t xml:space="preserve">L. rhamnosus </t>
    </r>
    <r>
      <rPr>
        <sz val="11"/>
        <color rgb="FF000000"/>
        <rFont val="Calibri"/>
        <family val="2"/>
        <scheme val="minor"/>
      </rPr>
      <t>GG</t>
    </r>
  </si>
  <si>
    <t>AHN68122.1</t>
  </si>
  <si>
    <t>SPH08255.1</t>
  </si>
  <si>
    <t>BEI48613.1</t>
  </si>
  <si>
    <t>WPW64173.1</t>
  </si>
  <si>
    <t>XCB15335.1</t>
  </si>
  <si>
    <t>VDH10140.1</t>
  </si>
  <si>
    <r>
      <t xml:space="preserve">L. reuteri </t>
    </r>
    <r>
      <rPr>
        <sz val="11"/>
        <color theme="1"/>
        <rFont val="Calibri"/>
        <family val="2"/>
        <scheme val="minor"/>
      </rPr>
      <t>100-23</t>
    </r>
  </si>
  <si>
    <t>WP_003666507.1</t>
  </si>
  <si>
    <r>
      <rPr>
        <i/>
        <sz val="11"/>
        <color rgb="FF000000"/>
        <rFont val="Calibri"/>
        <family val="2"/>
        <scheme val="minor"/>
      </rPr>
      <t>L. salivarus</t>
    </r>
    <r>
      <rPr>
        <sz val="11"/>
        <color rgb="FF000000"/>
        <rFont val="Calibri"/>
        <family val="2"/>
        <scheme val="minor"/>
      </rPr>
      <t xml:space="preserve"> UCC18</t>
    </r>
  </si>
  <si>
    <t>AAM61785.1</t>
  </si>
  <si>
    <t>AJP47088.1</t>
  </si>
  <si>
    <t>WP_332243977.1</t>
  </si>
  <si>
    <r>
      <rPr>
        <i/>
        <sz val="11"/>
        <color rgb="FF242021"/>
        <rFont val="Calibri"/>
        <family val="2"/>
        <scheme val="minor"/>
      </rPr>
      <t xml:space="preserve">Lactiplantibacillus plantarum </t>
    </r>
    <r>
      <rPr>
        <sz val="11"/>
        <color rgb="FF242021"/>
        <rFont val="Calibri"/>
        <family val="2"/>
        <scheme val="minor"/>
      </rPr>
      <t>WCFS1</t>
    </r>
  </si>
  <si>
    <t>WP_003643485.1</t>
  </si>
  <si>
    <t>WP_003642515.1</t>
  </si>
  <si>
    <t>WP_003642516.1</t>
  </si>
  <si>
    <t>WP_003642512.1</t>
  </si>
  <si>
    <r>
      <t xml:space="preserve">B. tibiigranuli </t>
    </r>
    <r>
      <rPr>
        <sz val="11"/>
        <color rgb="FF000000"/>
        <rFont val="Calibri"/>
        <family val="2"/>
        <scheme val="minor"/>
      </rPr>
      <t>TMW 2.2057</t>
    </r>
  </si>
  <si>
    <t>GMB73427.1</t>
  </si>
  <si>
    <t>WP_164503007.1</t>
  </si>
  <si>
    <r>
      <t xml:space="preserve">B. dentium </t>
    </r>
    <r>
      <rPr>
        <sz val="11"/>
        <color rgb="FF000000"/>
        <rFont val="Calibri"/>
        <family val="2"/>
        <scheme val="minor"/>
      </rPr>
      <t>Bd1</t>
    </r>
  </si>
  <si>
    <t>VEG24324.1</t>
  </si>
  <si>
    <r>
      <rPr>
        <i/>
        <sz val="11"/>
        <color theme="1"/>
        <rFont val="Calibri"/>
        <family val="2"/>
        <scheme val="minor"/>
      </rPr>
      <t>Lactobacillus plantarum</t>
    </r>
    <r>
      <rPr>
        <sz val="11"/>
        <color theme="1"/>
        <rFont val="Calibri"/>
        <family val="2"/>
        <scheme val="minor"/>
      </rPr>
      <t xml:space="preserve"> subsp. </t>
    </r>
    <r>
      <rPr>
        <i/>
        <sz val="11"/>
        <color theme="1"/>
        <rFont val="Calibri"/>
        <family val="2"/>
        <scheme val="minor"/>
      </rPr>
      <t xml:space="preserve">plantarum </t>
    </r>
    <r>
      <rPr>
        <sz val="11"/>
        <color theme="1"/>
        <rFont val="Calibri"/>
        <family val="2"/>
        <scheme val="minor"/>
      </rPr>
      <t>ATCC 14917 = JCM 1149 =  CGMCC 1.2437</t>
    </r>
  </si>
  <si>
    <t>WP_003643974.1</t>
  </si>
  <si>
    <r>
      <rPr>
        <i/>
        <sz val="11"/>
        <color rgb="FF000000"/>
        <rFont val="Calibri"/>
        <family val="2"/>
        <scheme val="minor"/>
      </rPr>
      <t>B. longum</t>
    </r>
    <r>
      <rPr>
        <sz val="11"/>
        <color rgb="FF000000"/>
        <rFont val="Calibri"/>
        <family val="2"/>
        <scheme val="minor"/>
      </rPr>
      <t xml:space="preserve"> BBMN68</t>
    </r>
  </si>
  <si>
    <r>
      <t xml:space="preserve">Lactococcus lactis </t>
    </r>
    <r>
      <rPr>
        <sz val="11"/>
        <color theme="1"/>
        <rFont val="Calibri"/>
        <family val="2"/>
        <scheme val="minor"/>
      </rPr>
      <t>WFLU12</t>
    </r>
  </si>
  <si>
    <t>WP_058211934.1</t>
  </si>
  <si>
    <t>ACJ15334.1</t>
  </si>
  <si>
    <r>
      <rPr>
        <i/>
        <sz val="11"/>
        <color rgb="FF212121"/>
        <rFont val="Calibri"/>
        <family val="2"/>
        <scheme val="minor"/>
      </rPr>
      <t>Lactobacillus delbrueckii</t>
    </r>
    <r>
      <rPr>
        <sz val="11"/>
        <color rgb="FF212121"/>
        <rFont val="Calibri"/>
        <family val="2"/>
        <scheme val="minor"/>
      </rPr>
      <t xml:space="preserve"> susp. </t>
    </r>
    <r>
      <rPr>
        <i/>
        <sz val="11"/>
        <color rgb="FF212121"/>
        <rFont val="Calibri"/>
        <family val="2"/>
        <scheme val="minor"/>
      </rPr>
      <t xml:space="preserve">lactis </t>
    </r>
    <r>
      <rPr>
        <sz val="11"/>
        <color rgb="FF212121"/>
        <rFont val="Calibri"/>
        <family val="2"/>
        <scheme val="minor"/>
      </rPr>
      <t>CIDCA 133</t>
    </r>
  </si>
  <si>
    <t>WP_013439207.1</t>
  </si>
  <si>
    <t>WP_003642759.1</t>
  </si>
  <si>
    <t>WPW65706.1</t>
  </si>
  <si>
    <r>
      <rPr>
        <i/>
        <sz val="11"/>
        <color rgb="FF000000"/>
        <rFont val="Calibri"/>
        <family val="2"/>
        <scheme val="minor"/>
      </rPr>
      <t xml:space="preserve">B. scardovii </t>
    </r>
    <r>
      <rPr>
        <sz val="11"/>
        <color rgb="FF000000"/>
        <rFont val="Calibri"/>
        <family val="2"/>
        <scheme val="minor"/>
      </rPr>
      <t>JCM 12489</t>
    </r>
  </si>
  <si>
    <t>WP_003640603.1</t>
  </si>
  <si>
    <t>WP_003641867.1</t>
  </si>
  <si>
    <r>
      <rPr>
        <i/>
        <sz val="11"/>
        <color rgb="FF000000"/>
        <rFont val="Calibri"/>
        <family val="2"/>
        <scheme val="minor"/>
      </rPr>
      <t>Leuconostoc mesenteroides</t>
    </r>
    <r>
      <rPr>
        <sz val="11"/>
        <color rgb="FF000000"/>
        <rFont val="Calibri"/>
        <family val="2"/>
        <scheme val="minor"/>
      </rPr>
      <t xml:space="preserve"> strain F-22</t>
    </r>
  </si>
  <si>
    <t>WP_025268335.1</t>
  </si>
  <si>
    <t>WP_003643975.1</t>
  </si>
  <si>
    <t>WP_003643969.1</t>
  </si>
  <si>
    <t>SPS11905.1</t>
  </si>
  <si>
    <r>
      <rPr>
        <i/>
        <sz val="11"/>
        <color rgb="FF000000"/>
        <rFont val="Calibri"/>
        <family val="2"/>
        <scheme val="minor"/>
      </rPr>
      <t>B. dentium</t>
    </r>
    <r>
      <rPr>
        <sz val="11"/>
        <color rgb="FF000000"/>
        <rFont val="Calibri"/>
        <family val="2"/>
        <scheme val="minor"/>
      </rPr>
      <t xml:space="preserve"> bd1</t>
    </r>
  </si>
  <si>
    <t>WP_011101383.1</t>
  </si>
  <si>
    <r>
      <rPr>
        <i/>
        <sz val="11"/>
        <color theme="1"/>
        <rFont val="Calibri"/>
        <family val="2"/>
        <scheme val="minor"/>
      </rPr>
      <t>Lactobacillus acidophilus</t>
    </r>
    <r>
      <rPr>
        <sz val="11"/>
        <color theme="1"/>
        <rFont val="Calibri"/>
        <family val="2"/>
        <scheme val="minor"/>
      </rPr>
      <t xml:space="preserve"> (strain ATCC 700396 / NCK56 / N2 / NCFM)</t>
    </r>
  </si>
  <si>
    <r>
      <rPr>
        <i/>
        <sz val="11"/>
        <color rgb="FF212121"/>
        <rFont val="Calibri"/>
        <family val="2"/>
        <scheme val="minor"/>
      </rPr>
      <t>Lactobacillus delbrueckii</t>
    </r>
    <r>
      <rPr>
        <sz val="11"/>
        <color rgb="FF212121"/>
        <rFont val="Calibri"/>
        <family val="2"/>
        <scheme val="minor"/>
      </rPr>
      <t xml:space="preserve"> susp.</t>
    </r>
    <r>
      <rPr>
        <i/>
        <sz val="11"/>
        <color rgb="FF212121"/>
        <rFont val="Calibri"/>
        <family val="2"/>
        <scheme val="minor"/>
      </rPr>
      <t xml:space="preserve"> lactis</t>
    </r>
    <r>
      <rPr>
        <sz val="11"/>
        <color rgb="FF212121"/>
        <rFont val="Calibri"/>
        <family val="2"/>
        <scheme val="minor"/>
      </rPr>
      <t xml:space="preserve"> CIDCA 133</t>
    </r>
  </si>
  <si>
    <t>ADQ60897.1</t>
  </si>
  <si>
    <r>
      <t xml:space="preserve">Bifidobacterium longum </t>
    </r>
    <r>
      <rPr>
        <sz val="11"/>
        <color rgb="FF000000"/>
        <rFont val="Calibri"/>
        <family val="2"/>
        <scheme val="minor"/>
      </rPr>
      <t>NCC2705</t>
    </r>
  </si>
  <si>
    <r>
      <t>L. reuteri</t>
    </r>
    <r>
      <rPr>
        <sz val="11"/>
        <color theme="1"/>
        <rFont val="Calibri"/>
        <family val="2"/>
        <scheme val="minor"/>
      </rPr>
      <t xml:space="preserve"> ATCC 55730</t>
    </r>
  </si>
  <si>
    <r>
      <rPr>
        <i/>
        <sz val="11"/>
        <color theme="1"/>
        <rFont val="Calibri"/>
        <family val="2"/>
        <scheme val="minor"/>
      </rPr>
      <t>Lactococcus lactis</t>
    </r>
    <r>
      <rPr>
        <sz val="11"/>
        <color theme="1"/>
        <rFont val="Calibri"/>
        <family val="2"/>
        <scheme val="minor"/>
      </rPr>
      <t xml:space="preserve"> subsp.</t>
    </r>
    <r>
      <rPr>
        <i/>
        <sz val="11"/>
        <color theme="1"/>
        <rFont val="Calibri"/>
        <family val="2"/>
        <scheme val="minor"/>
      </rPr>
      <t xml:space="preserve"> lactis</t>
    </r>
    <r>
      <rPr>
        <sz val="11"/>
        <color theme="1"/>
        <rFont val="Calibri"/>
        <family val="2"/>
        <scheme val="minor"/>
      </rPr>
      <t xml:space="preserve"> NCDO 2118</t>
    </r>
  </si>
  <si>
    <t>WP_012897570.1</t>
  </si>
  <si>
    <t>WP_003640333.1</t>
  </si>
  <si>
    <t>AER63657.1</t>
  </si>
  <si>
    <r>
      <rPr>
        <i/>
        <sz val="11"/>
        <color rgb="FF212121"/>
        <rFont val="Calibri"/>
        <family val="2"/>
        <scheme val="minor"/>
      </rPr>
      <t>Lactobacillus delbrueckii</t>
    </r>
    <r>
      <rPr>
        <sz val="11"/>
        <color rgb="FF212121"/>
        <rFont val="Calibri"/>
        <family val="2"/>
        <scheme val="minor"/>
      </rPr>
      <t xml:space="preserve"> susp. </t>
    </r>
    <r>
      <rPr>
        <i/>
        <sz val="11"/>
        <color rgb="FF212121"/>
        <rFont val="Calibri"/>
        <family val="2"/>
        <scheme val="minor"/>
      </rPr>
      <t>lactis</t>
    </r>
    <r>
      <rPr>
        <sz val="11"/>
        <color rgb="FF212121"/>
        <rFont val="Calibri"/>
        <family val="2"/>
        <scheme val="minor"/>
      </rPr>
      <t xml:space="preserve"> CIDCA 133</t>
    </r>
  </si>
  <si>
    <t>WP_013440358.1</t>
  </si>
  <si>
    <t>AAO63471.1</t>
  </si>
  <si>
    <t>WP_011679529.1</t>
  </si>
  <si>
    <t>WP_013440239.1</t>
  </si>
  <si>
    <t>WPW65455.1</t>
  </si>
  <si>
    <r>
      <rPr>
        <i/>
        <sz val="11"/>
        <color rgb="FF000000"/>
        <rFont val="Calibri"/>
        <family val="2"/>
        <scheme val="minor"/>
      </rPr>
      <t>Leuconostoc mesenteroides</t>
    </r>
    <r>
      <rPr>
        <sz val="11"/>
        <color rgb="FF000000"/>
        <rFont val="Calibri"/>
        <family val="2"/>
        <scheme val="minor"/>
      </rPr>
      <t xml:space="preserve"> strain F-21</t>
    </r>
  </si>
  <si>
    <t>STY37033.1</t>
  </si>
  <si>
    <r>
      <rPr>
        <i/>
        <sz val="11"/>
        <color rgb="FF000000"/>
        <rFont val="Calibri"/>
        <family val="2"/>
        <scheme val="minor"/>
      </rPr>
      <t>Bifidobacterium breve</t>
    </r>
    <r>
      <rPr>
        <sz val="11"/>
        <color rgb="FF000000"/>
        <rFont val="Calibri"/>
        <family val="2"/>
        <scheme val="minor"/>
      </rPr>
      <t xml:space="preserve"> UCC2003</t>
    </r>
  </si>
  <si>
    <r>
      <rPr>
        <i/>
        <sz val="11"/>
        <color theme="1"/>
        <rFont val="Calibri"/>
        <family val="2"/>
        <scheme val="minor"/>
      </rPr>
      <t>Bacillus velezensis</t>
    </r>
    <r>
      <rPr>
        <sz val="11"/>
        <color theme="1"/>
        <rFont val="Calibri"/>
        <family val="2"/>
        <scheme val="minor"/>
      </rPr>
      <t xml:space="preserve"> 6-2</t>
    </r>
  </si>
  <si>
    <t>WP_003153604.1</t>
  </si>
  <si>
    <r>
      <rPr>
        <i/>
        <sz val="11"/>
        <color rgb="FF212121"/>
        <rFont val="Calibri"/>
        <family val="2"/>
        <scheme val="minor"/>
      </rPr>
      <t xml:space="preserve">Lactobacillus delbrueckii </t>
    </r>
    <r>
      <rPr>
        <sz val="11"/>
        <color rgb="FF212121"/>
        <rFont val="Calibri"/>
        <family val="2"/>
        <scheme val="minor"/>
      </rPr>
      <t>susp.</t>
    </r>
    <r>
      <rPr>
        <i/>
        <sz val="11"/>
        <color rgb="FF212121"/>
        <rFont val="Calibri"/>
        <family val="2"/>
        <scheme val="minor"/>
      </rPr>
      <t xml:space="preserve"> lactis</t>
    </r>
    <r>
      <rPr>
        <sz val="11"/>
        <color rgb="FF212121"/>
        <rFont val="Calibri"/>
        <family val="2"/>
        <scheme val="minor"/>
      </rPr>
      <t xml:space="preserve"> CIDCA 133</t>
    </r>
  </si>
  <si>
    <t>AGO45011.1</t>
  </si>
  <si>
    <t>WP_005711025.1</t>
  </si>
  <si>
    <t>WP_005688016.1</t>
  </si>
  <si>
    <r>
      <t xml:space="preserve">B. breve </t>
    </r>
    <r>
      <rPr>
        <sz val="11"/>
        <color rgb="FF000000"/>
        <rFont val="Calibri"/>
        <family val="2"/>
        <scheme val="minor"/>
      </rPr>
      <t>UCC2003</t>
    </r>
  </si>
  <si>
    <t>WP_003830434.1</t>
  </si>
  <si>
    <r>
      <rPr>
        <i/>
        <sz val="11"/>
        <color rgb="FF000000"/>
        <rFont val="Calibri"/>
        <family val="2"/>
        <scheme val="minor"/>
      </rPr>
      <t>B. breve</t>
    </r>
    <r>
      <rPr>
        <sz val="11"/>
        <color rgb="FF000000"/>
        <rFont val="Calibri"/>
        <family val="2"/>
        <scheme val="minor"/>
      </rPr>
      <t xml:space="preserve"> UCC2003</t>
    </r>
  </si>
  <si>
    <t>WP_005685501.1</t>
  </si>
  <si>
    <t>WP_011679122.1</t>
  </si>
  <si>
    <r>
      <t xml:space="preserve">B. breve </t>
    </r>
    <r>
      <rPr>
        <sz val="11"/>
        <color rgb="FF000000"/>
        <rFont val="Calibri"/>
        <family val="2"/>
        <scheme val="minor"/>
      </rPr>
      <t>NCFB 2258</t>
    </r>
  </si>
  <si>
    <t>WP_198213703.1</t>
  </si>
  <si>
    <t>WP_012898588.1</t>
  </si>
  <si>
    <t>WP_013440193.1</t>
  </si>
  <si>
    <r>
      <rPr>
        <i/>
        <sz val="11"/>
        <color rgb="FF000000"/>
        <rFont val="Calibri"/>
        <family val="2"/>
        <scheme val="minor"/>
      </rPr>
      <t xml:space="preserve">Leuconostoc mesenteroides </t>
    </r>
    <r>
      <rPr>
        <sz val="11"/>
        <color rgb="FF000000"/>
        <rFont val="Calibri"/>
        <family val="2"/>
        <scheme val="minor"/>
      </rPr>
      <t>strain F-22</t>
    </r>
  </si>
  <si>
    <r>
      <rPr>
        <i/>
        <sz val="11"/>
        <color rgb="FF000000"/>
        <rFont val="Calibri"/>
        <family val="2"/>
        <scheme val="minor"/>
      </rPr>
      <t>Lactococcus lactis</t>
    </r>
    <r>
      <rPr>
        <sz val="11"/>
        <color rgb="FF000000"/>
        <rFont val="Calibri"/>
        <family val="2"/>
        <scheme val="minor"/>
      </rPr>
      <t xml:space="preserve"> NZ9000</t>
    </r>
  </si>
  <si>
    <t>KGF75791.1</t>
  </si>
  <si>
    <r>
      <rPr>
        <i/>
        <sz val="11"/>
        <color rgb="FF000000"/>
        <rFont val="Calibri"/>
        <family val="2"/>
        <scheme val="minor"/>
      </rPr>
      <t xml:space="preserve">B. longum </t>
    </r>
    <r>
      <rPr>
        <sz val="11"/>
        <color rgb="FF000000"/>
        <rFont val="Calibri"/>
        <family val="2"/>
        <scheme val="minor"/>
      </rPr>
      <t>NCC2705</t>
    </r>
  </si>
  <si>
    <t>WP_007056578.1</t>
  </si>
  <si>
    <r>
      <rPr>
        <i/>
        <sz val="11"/>
        <color rgb="FF000000"/>
        <rFont val="Calibri"/>
        <family val="2"/>
        <scheme val="minor"/>
      </rPr>
      <t>B. asteroides</t>
    </r>
    <r>
      <rPr>
        <sz val="11"/>
        <color rgb="FF000000"/>
        <rFont val="Calibri"/>
        <family val="2"/>
        <scheme val="minor"/>
      </rPr>
      <t xml:space="preserve"> PRL2011</t>
    </r>
  </si>
  <si>
    <t>KJY65686.1</t>
  </si>
  <si>
    <t>WP_015021328.1</t>
  </si>
  <si>
    <r>
      <t xml:space="preserve">B. longum </t>
    </r>
    <r>
      <rPr>
        <sz val="11"/>
        <color rgb="FF000000"/>
        <rFont val="Calibri"/>
        <family val="2"/>
        <scheme val="minor"/>
      </rPr>
      <t>NCC2705</t>
    </r>
  </si>
  <si>
    <t>WP_003644417.1</t>
  </si>
  <si>
    <r>
      <rPr>
        <i/>
        <sz val="11"/>
        <color rgb="FF000000"/>
        <rFont val="Calibri"/>
        <family val="2"/>
        <scheme val="minor"/>
      </rPr>
      <t>B. longum</t>
    </r>
    <r>
      <rPr>
        <sz val="11"/>
        <color rgb="FF000000"/>
        <rFont val="Calibri"/>
        <family val="2"/>
        <scheme val="minor"/>
      </rPr>
      <t xml:space="preserve"> ssp. </t>
    </r>
    <r>
      <rPr>
        <i/>
        <sz val="11"/>
        <color rgb="FF000000"/>
        <rFont val="Calibri"/>
        <family val="2"/>
        <scheme val="minor"/>
      </rPr>
      <t xml:space="preserve">infantis </t>
    </r>
    <r>
      <rPr>
        <sz val="11"/>
        <color rgb="FF000000"/>
        <rFont val="Calibri"/>
        <family val="2"/>
        <scheme val="minor"/>
      </rPr>
      <t>ATCC 15697</t>
    </r>
  </si>
  <si>
    <r>
      <t xml:space="preserve">Lactobacillus plantarum </t>
    </r>
    <r>
      <rPr>
        <sz val="11"/>
        <color rgb="FF000000"/>
        <rFont val="Calibri"/>
        <family val="2"/>
        <scheme val="minor"/>
      </rPr>
      <t>WCFS1</t>
    </r>
  </si>
  <si>
    <t>WP_003641020.1</t>
  </si>
  <si>
    <r>
      <rPr>
        <i/>
        <sz val="11"/>
        <color rgb="FF000000"/>
        <rFont val="Calibri"/>
        <family val="2"/>
        <scheme val="minor"/>
      </rPr>
      <t xml:space="preserve">B. tibiigranuli </t>
    </r>
    <r>
      <rPr>
        <sz val="11"/>
        <color rgb="FF000000"/>
        <rFont val="Calibri"/>
        <family val="2"/>
        <scheme val="minor"/>
      </rPr>
      <t>TMW 2.2057</t>
    </r>
  </si>
  <si>
    <t>WP_152581620.1</t>
  </si>
  <si>
    <r>
      <rPr>
        <i/>
        <sz val="11"/>
        <color rgb="FF000000"/>
        <rFont val="Calibri"/>
        <family val="2"/>
        <scheme val="minor"/>
      </rPr>
      <t xml:space="preserve">B. xylocopae </t>
    </r>
    <r>
      <rPr>
        <sz val="11"/>
        <color rgb="FF000000"/>
        <rFont val="Calibri"/>
        <family val="2"/>
        <scheme val="minor"/>
      </rPr>
      <t>XV2</t>
    </r>
  </si>
  <si>
    <r>
      <t xml:space="preserve">Lactobacillus reuteri </t>
    </r>
    <r>
      <rPr>
        <sz val="11"/>
        <color rgb="FF000000"/>
        <rFont val="Calibri"/>
        <family val="2"/>
        <scheme val="minor"/>
      </rPr>
      <t>PNW1</t>
    </r>
  </si>
  <si>
    <t>AWD62214.1</t>
  </si>
  <si>
    <t>QGV17528.1</t>
  </si>
  <si>
    <r>
      <t xml:space="preserve">Bifidobacterium longum </t>
    </r>
    <r>
      <rPr>
        <sz val="11"/>
        <color rgb="FF000000"/>
        <rFont val="Calibri"/>
        <family val="2"/>
        <scheme val="minor"/>
      </rPr>
      <t>NCC2705/</t>
    </r>
    <r>
      <rPr>
        <i/>
        <sz val="11"/>
        <color rgb="FF000000"/>
        <rFont val="Calibri"/>
        <family val="2"/>
        <scheme val="minor"/>
      </rPr>
      <t>B. breve</t>
    </r>
    <r>
      <rPr>
        <sz val="11"/>
        <color rgb="FF000000"/>
        <rFont val="Calibri"/>
        <family val="2"/>
        <scheme val="minor"/>
      </rPr>
      <t xml:space="preserve"> UCC2003</t>
    </r>
  </si>
  <si>
    <t>VTX87039.1</t>
  </si>
  <si>
    <t>WP_011101584.1</t>
  </si>
  <si>
    <t>BBM20761.1</t>
  </si>
  <si>
    <t>WPW65085.1</t>
  </si>
  <si>
    <r>
      <rPr>
        <i/>
        <sz val="11"/>
        <color rgb="FF212121"/>
        <rFont val="Calibri"/>
        <family val="2"/>
        <scheme val="minor"/>
      </rPr>
      <t>Lactobacillus delbrueckii</t>
    </r>
    <r>
      <rPr>
        <sz val="11"/>
        <color rgb="FF212121"/>
        <rFont val="Calibri"/>
        <family val="2"/>
        <scheme val="minor"/>
      </rPr>
      <t xml:space="preserve"> susp.</t>
    </r>
    <r>
      <rPr>
        <i/>
        <sz val="11"/>
        <color rgb="FF212121"/>
        <rFont val="Calibri"/>
        <family val="2"/>
        <scheme val="minor"/>
      </rPr>
      <t xml:space="preserve"> lactis </t>
    </r>
    <r>
      <rPr>
        <sz val="11"/>
        <color rgb="FF212121"/>
        <rFont val="Calibri"/>
        <family val="2"/>
        <scheme val="minor"/>
      </rPr>
      <t>CIDCA 133</t>
    </r>
  </si>
  <si>
    <t>WP_013439737.1</t>
  </si>
  <si>
    <t>WP_013439358.1</t>
  </si>
  <si>
    <t>GJJ25742.1</t>
  </si>
  <si>
    <t>WAU28942.1</t>
  </si>
  <si>
    <t>WP_026092293.1</t>
  </si>
  <si>
    <t>WAU30504.1</t>
  </si>
  <si>
    <t>WP_003640707.1</t>
  </si>
  <si>
    <t>WP_047677124.1</t>
  </si>
  <si>
    <t>WP_003640704.1</t>
  </si>
  <si>
    <t>WP_011101636.1</t>
  </si>
  <si>
    <t>WPW64738.1</t>
  </si>
  <si>
    <r>
      <rPr>
        <i/>
        <sz val="11"/>
        <color rgb="FF000000"/>
        <rFont val="Calibri"/>
        <family val="2"/>
        <scheme val="minor"/>
      </rPr>
      <t xml:space="preserve">Leuconostoc mesenteroides </t>
    </r>
    <r>
      <rPr>
        <sz val="11"/>
        <color rgb="FF000000"/>
        <rFont val="Calibri"/>
        <family val="2"/>
        <scheme val="minor"/>
      </rPr>
      <t>strain F-21</t>
    </r>
  </si>
  <si>
    <t>WP_011680438.1</t>
  </si>
  <si>
    <t>WP_011101637.1</t>
  </si>
  <si>
    <t>WPW64207.1</t>
  </si>
  <si>
    <t>WP_003155420.1</t>
  </si>
  <si>
    <t>EFK29741.1</t>
  </si>
  <si>
    <t>WP_013440093.1</t>
  </si>
  <si>
    <t>CAD99189.1</t>
  </si>
  <si>
    <r>
      <rPr>
        <i/>
        <sz val="11"/>
        <color rgb="FF000000"/>
        <rFont val="Calibri"/>
        <family val="2"/>
        <scheme val="minor"/>
      </rPr>
      <t>B. bididum</t>
    </r>
    <r>
      <rPr>
        <sz val="11"/>
        <color rgb="FF000000"/>
        <rFont val="Calibri"/>
        <family val="2"/>
        <scheme val="minor"/>
      </rPr>
      <t xml:space="preserve"> ATCC 29521</t>
    </r>
  </si>
  <si>
    <t>WPW64542.1</t>
  </si>
  <si>
    <r>
      <t>Lactobacillus plantarum</t>
    </r>
    <r>
      <rPr>
        <sz val="11"/>
        <color theme="1"/>
        <rFont val="Calibri"/>
        <family val="2"/>
        <scheme val="minor"/>
      </rPr>
      <t xml:space="preserve"> DF/KP</t>
    </r>
  </si>
  <si>
    <t>WAU31067.1</t>
  </si>
  <si>
    <r>
      <rPr>
        <i/>
        <sz val="11"/>
        <color rgb="FF000000"/>
        <rFont val="Calibri"/>
        <family val="2"/>
        <scheme val="minor"/>
      </rPr>
      <t>B. longum</t>
    </r>
    <r>
      <rPr>
        <sz val="11"/>
        <color rgb="FF000000"/>
        <rFont val="Calibri"/>
        <family val="2"/>
        <scheme val="minor"/>
      </rPr>
      <t xml:space="preserve"> NCC2705</t>
    </r>
  </si>
  <si>
    <t>Accession number ends in .1</t>
  </si>
  <si>
    <t>Sequence (if false)</t>
  </si>
  <si>
    <t>&gt;tr|A0A087BKY4|A0A087BKY4_9BIFI MutT family NTP pyrophosphatase OS=Bifidobacterium merycicum OX=78345 GN=BMERY_1208 PE=4 SV=1
MSNKTHRRFDPWRIAPVQEMSRKVILQTHCFNIDHVAFDSLAGKPFERDFIHVKHGDTVG
VLAITNDGRIPLVEQYRLSTHRWTLEIPGGHGTSHTDRPMDIARRKLEEEAGFKAGKIQQ
FSRIMDMPGYSTQYTSLFYATDLTPTQISDFGPETPRPGLRLVTPEEAHQLVVNGTILDA
KSLVALLSLHDGLLDHHDSPDSDN</t>
  </si>
  <si>
    <t>&gt;tr|A0A0G9F970|A0A0G9F970_LACPN Dihydrofolate synthase/folylpolyglutamate synthase OS=Lactiplantibacillus plantarum OX=1590 GN=folC PE=3 SV=1
MIDTYSAALAFIHGRTQFKKAPTLSRMRQFLHELGDPQLKVAGIHVAGTNGKGSTVANLR
ELFMADGLTVGTFTSPFIVRFNERISVDGTPISDEELVGLVQQIQPIVAKLDATLASGGP
TEFEIITAMMFLYFAAQPIDIAIIEVGLGGLYDSTNVWTPAVSVITTIGYDHMQILGNTL
TAIATQKAGIIKTQVPVIVGKLPAEAQQVMIDTAMSKRAPLRTLGVDFTTKLLPPQGWQE
RFNFDGLEAHFKDLTTPLLGDYQVDNAAVAIAAYLTYHQATQLPVVTSDVKAAVAATQWP
GRFERLNQDPLIMIDGAHNEPAVTELAATLSERFGQQTVYVIFAVLADKQHQQMIQTLGA
LPNVQLRLTQFEGPNAKRPATDPTMLAHEMPNGRTAEVFDNWQAALMQTLQEMSSDDALL
LTGSLYFISDVRAYFKDGSDSETD</t>
  </si>
  <si>
    <t>&gt;
MLKVENMKVEYSGKEILSDINFSVKAGERLAILGPNGSGKSTLLKSLAGLLKYQGKIELNEQSLTTLKRIELAEKVALLSQNPAVYFSYSVYETLMMGLYTQLRKRFMAVASAQDKARVAEVIAAFDLDTIKDQQLSTLSGGQLQRVFLARTLLQNPQIVLLDEPNNHLDIYYQLEMLRNIDEYFAQNQIIIAVFHDINLALSFSENVLVLHEGKIVKQGKANEVLSRSFLEQVYQTDVLAYMLEKHKFWHEMDKKRE</t>
  </si>
  <si>
    <t>&gt;tr|A0A2R7ZYW1|A0A2R7ZYW1_CARDV Capsular polysaccharide biosynthesis protein CpsC OS=Carnobacterium divergens OX=2748 GN=CKN69_01915 PE=3 SV=1
MEETINLSELFEVIRKRMVLIIGGGLAGIILAAVITYFFITPQFNSSTQLLVNRAKDESQ
VATQWNDLQTDVQMINTYKDIIKGPVILEDVRKKLSTTSSVEQLASKIEIITQQNSQVFT
IKVTDSDPYKAADIANTVAAVFQEKIGGIMSVQNVTQISSAHPNTSQVSPKPMLNILIGF
IVGIMGMVGVSFLLEFMDKTVRDEKFISETLGWTNLGTISEMNFDELNAKSPSSIVSRRT
KTRV</t>
  </si>
  <si>
    <t>&gt;tr|A0A5P8JU76|A0A5P8JU76_9LACO Phosphate transport system permease protein OS=Lacticaseibacillus manihotivorans OX=88233 GN=pstC PE=3 SV=1
MDPIKDAMTHKSRSAKIEARGHLISLACISLIVAVVLAIFFFVASRGLATFFTNKINLWD
FLSKSTWEPAVKDAHGNPQVGALPMIVGSFGVTFLSAVVATPFAVGAAIFMTEISPNLGK
KILQPVIELLVGIPSVVYGFIGLSVIVPIIRTVFGGTGFGILAGTFVLFVMILPTVTSMT
VDALKAVPRHYREASLALGGTRWQTISRVVLRAAMPGILTGVVFGMARAFGEALAVQMVI
GNAALLPKDLISPASTLTSVLTSGIGNTVMGSLDNNALWSLALLLLLMSLAFNLLIRWIG
KKGEMK</t>
  </si>
  <si>
    <t>&gt;tr|A0A6N2Y2U5|A0A6N2Y2U5_LACRH ABC transporter ATP-binding protein YtrB OS=Lacticaseibacillus rhamnosus OX=47715 GN=ytrB_1 PE=4 SV=1
MTTDLLTVSHLNKHYEDFHLADVSFHLPAGYIMGFIGPNGAGKTTTIKAILDMLQPDSGA
INLLGQTTVAARKQVRDQLGVVLDGMVYPDSWQSTAVNRFVGPFFPSWDAVYFKQLCHDF
AIPEKTKYRDLSMGTKIKLQLAAALAHHPQLLILDEPTSGLDPIARDELIAILQDFISDD
QHSVLISTHSIIELAKVADYVTYLLAGKVTFTGPLSDLLGRYIMIKGGPNELTPGIQATI
IGLQQSRVGFSGIWPADQADQLPDSIVQETVDLETLMIAFGKGRRAHA</t>
  </si>
  <si>
    <t>&gt;tr|A0A7M4DTX6|A0A7M4DTX6_LACRG SpaC OS=Lacticaseibacillus rhamnosus (strain ATCC 53103 / LMG 18243 / GG) OX=568703 GN=LGG_00444 PE=1 SV=1
MGRDPNSTDNIRPTYQTDANGTYPTNSWQVTGQQNVINQRGGDQVSGWDNNTIWNGDATD
TTNSYLKFGDPNNPDYQIRKYAKETNTPGLYDVYLNVKGNKQQNVKPVDIVLVVDMSGSM
ESNRWGTNRAGAVRTGVKNFLTSIQNAGLGNYVNVGLIGFSSPGYIGGKSGYISVKLGKA
GNASQQQAINGALSPRFQGGTYTQIGLRQGSAMLNADTSGNKKMMILLTDGVPTFSNEVI
NSEWINGTLYGTNFGSSRDEPGNTARLRWPYTDSSGHYIYDTWPATLGEAKIAKDSGNEV
HALGIQLADDDHYMTKEKIRQNMQLITNSPDLYEDADSADAVEAYLNNQAKDIIKNFNTV
TDGTITDPIGTQFQYANNQATVTSVGKQTVPASELPSAAIQDGQLTVNHMNLGQDQEVQI
HYQVRIKTEDAGFKPDFWYQMNGETLLTPKAGAAAVDFGIPSGRAPATTVYVQKQWRQLS
NQSLPDTLNVTVQRKVADGSLDPNWQQTLVLKKADNWKASFTAPAYNNQGQSFSYVVKSE
DASGIDLSSFISSQNMDQQTATLTLTNQQYGFQFQKKTTDGTDLSADQLKAMQFNLTQYS
DNSFQQASKTNAITSTDLQALAPGYYGIQEAAAPTGYQLDGTTYLFQLTSDGQWQYHGTK
DNVTSGSVINGQQTLNPVGDKSDDFTVTGDHQQILTLTKYDEPKPSMTLRVIKQDNQSQY
LAGAAFTLQPSAGEAETITSSATSEGQAFATKLVADGTYTMSETKAPDGYQSNPAKIAIQ
VATTGKEATVTIDGEALKPGESKNGYTLAIDGSTITLQAINQPLAILPLEHHHHHH</t>
  </si>
  <si>
    <t>&gt;tr|A0A7Y7QEU6|A0A7Y7QEU6_LACRH Capsular biosynthesis protein CpsH OS=Lacticaseibacillus rhamnosus OX=47715 GN=HWN39_04535 PE=4 SV=1
MSIQKQLNAFKGKRVLLLAPKFFHYIGEILDAMKDAGIDCDFLDERPLPGFTGKAIARYV
PVVNERKVRENIRQRLSENHYDYLLVIKGESLSTKLLSDFKQANPGAKTVLFLWDSVANS
KHAKAFFPDFDSVYTFDANDAAKYKIEFLPLFVGSQFDPRLTATDQQPNIDLAFIGTVHS
NRSELLNVIEELAHEEALSFYDFRYVQSKLIYAVRYMQDSAFRKSPEGTIHFDKIAASEM
LKVLRQTRIIVDVTHPKQTGLTGRVIEGLSMGRKVLTTNSKVLDYSFINQENVQIFDEHL
AHLDKDFITSPYVGNPLTVYHNFSVYNWLRTVLSGSPYAPVSD</t>
  </si>
  <si>
    <t>&gt;tr|A0AA87LPD0|A0AA87LPD0_BIFLL Polysaccharide capsule synthesis protein CpsJ OS=Bifidobacterium longum subsp. longum 1-6B OX=1161744 GN=cpsJ PE=3 SV=1
MVERILVTGAGGYIGRHVVKALLDDGQDVIASDLRLNDVDDRAEHIETNLFESGSDIYSK
LGKPDVCLHMAWRDGFKHNSDNHMGDLSAHYRFIKNMLDGGLPQIAVMGTMHEVGYWEGA
IDEHTPCHPASMYGIAKNALREATLMLAQEHNAAVQWLRAYYIVGDDLRGSSIFSKLLQA
AHDGKPSFPFTTGKNKYDFINVDELARQISAAVSQREVTGIINCCTGKPISLAERVEQYI
KDNDLNITLDYGAFPDRPYDSPGVWGDATKIHEILATR</t>
  </si>
  <si>
    <t>&gt;
MEKVKAFADWLTKWFTVIVIVWAVFNYFVPAASLWGKAYTGYMLGIVLFGMGLTLTLDDFKRILTQPLMVIVGTIAHFIIMPLIAVALCAIFHLSGPLAVGVILVGCCPSGTSSNVMSYLSRGDVALDVSIGILSTLCAPFMIPLLMQLLASQYVSVPVESLFLNAVKVVLFPIALGVICHMIFGKKIEKITVALPIVSQVAILLIIGVVVAANGPKLFVASSLMAIPVVILHNLCGYSLGFGFSKLMYKIYPKGFRYAQQKAITFEVGMQDSALGETLALTSFASNPIAAVPSTFFSVWHNISGSILSSWWRNHDDKHEIHWDSDNGEKGSAKNVATGDHPFDADKKATADAKVEG</t>
  </si>
  <si>
    <t>uniparc</t>
  </si>
  <si>
    <t>&gt;tr|B6ECI9|B6ECI9_LACCA Signal recognition particle protein OS=Lacticaseibacillus casei OX=1582 GN=ffh PE=3 SV=1
MAFEGLSERLQKAFSGLRRKGKVSESDIRDAMREIRLALLEADVNFDVVKTFIKNVRTKA
LGAEVLESLTPSQQIIKIVNDELVKTMGEAAVPLNKAPHIPTVIMMAGLQGVGKTTTVGK
LSKYLMDNDSARPLLIAADVYRPAAIDQLQTIGKQLNVPVFEMGTDVDPVEIVRQGLATA
KENKNDYVLIDTAGRLQIDEKLMNELKNIKELAHPNDILLVVDAMTGQAAVDVAKGFNEQ
LDITGVVLTKLDGDTRGGAALSIRAVTGKPIKFIGQGEKMDALDVFYPDRMANRILGMGD
MLTLIDKAQKNYDEKQAMEMAEKIRENSFDFNDFLDQMDQISKMGPLEDIMKMIPGMANN
KALANVKMDPKDIAHMKAIVYSMTPQERGDPDLLNPSRRRRLAAGSGRPVVEVNRMIKQF
NQSKQMMNQMSKGNMKGLDGLMGGGVSGKLGKMAMNSMVRKQKKNKKRRLKNAKRFHS</t>
  </si>
  <si>
    <t>&gt;sp|D8KIT5|FOLQ_LACLN Probable DHNTP pyrophosphohydrolase OS=Lactococcus lactis subsp. cremoris (strain NZ9000) OX=746361 GN=folQ PE=1 SV=1
MNEDLISQIKEVVTAENQEKLIKIIQLLESSNYELRGKINPDLQLSASALVFKEDKLFFI
EHPYQKELLLPAGHVELKESPLDTAIREFHEETGFFAKKMGKLVDVNLIDIPFNETKNEK
KHQHIDFRYLLELEEQEAELAELPFFLLELEEAPEEFKKYYRYKNI</t>
  </si>
  <si>
    <t>&gt;tr|F9ULD5|F9ULD5_LACPL Two-component system response regulator accesory gene regulator protein A OS=Lactiplantibacillus plantarum (strain ATCC BAA-793 / NCIMB 8826 / WCFS1) OX=220668 GN=lamA PE=4 SV=1
MISVYICEDDPKQLQQIRQIITKVIVDQQLDMSICLACQDPHELLDKVNAQQPQKAIYVL
DIALNSDVNGIQLASQIRDMGRRSKIIFITTHTELSLMVFQYQVEALDFILKDFPDSLYE
RFSKVLHVAQDRFQTDENDQDDYVQIKIAETVRSINVKSIIFFESSTSPHKIVVHLDDGE
LEYYGLLKDVPDLSPNFYRCHKSYVVNLKRIKSLDKHLRRLTMTNGEKVLCSAQANRYLA
KWLAKKS</t>
  </si>
  <si>
    <t>&gt;
MSNINPSRSYLFAVDWLVGLVWFMAGFFATCLRFLIGFAMMFLGKKMSAQNKAHLAGFLRMGGRFMNDLSGMNTLVMYNAADRYAKKFADDSEYFRQATMNLLRTQLQVLFVINGFVYLTVFAGGFVTALQLAAGQLPAAGAFATWFALAMMMVNARQLGYFFHVVKSNGPALAGILATIAKSKTTPATVKITDNRPLKQLVLQDVAIGYEADAPLVSDINATLVPGKLYGLAGENGTGKSTLTQALLGQLTPLSGTIMADNTPVTALSNAQRAAVFGYVAANDYIFSGTIKENLLLGNQFGDQWQQHLDELGLMHFVTDLQDGYATEVGEGGRLLSPGQRQQLAFARMLLADKTVYLLDEMTSSIDAANAAIILAAIKRLSRQKIVLFISHDLSAMAEADVVWFIHDHQLISADHAQLYRDQPAYRHLVDNPEAMLKEGQPS</t>
  </si>
  <si>
    <t>MTKRKIVVALGGNAILSTDASANAQIKAVKETVKQLVAFVKQGDQLIISHGNGPQVGNLL</t>
  </si>
  <si>
    <t>IQQAASDSEKTPAMPLDTVGAMSQGEIGYWMQNAFNEVLAEEGLALDVATIVTQTIVDAK</t>
  </si>
  <si>
    <t>DEAFQNPTKPIGPFYSEAEAKKQQSINPEAHFVEDAGRGWRRVVPSPRPIGIQEAPVIQK</t>
  </si>
  <si>
    <t>LVEGNVITISAGGGGVPVAKEGNKLRGVEAVIDKDFASEKLAELVGADMLIILTAVDNVY</t>
  </si>
  <si>
    <t>VNFNKPDQKKLTNVSVAELEDYIKDDQFAKGSMLPKIQTAIEYVNNRPDSKAIITSLDNV</t>
  </si>
  <si>
    <t>KNLLAHDAGTIITK</t>
  </si>
  <si>
    <t>&gt;sp|O53090|ARCC_LATSK Carbamate kinase OS=Latilactobacillus sakei OX=1599 GN=arcC PE=3 SV=1
MTKRKIVVALGGNAILSTDASANAQIKAVKETVKQLVAFVKQGDQLIISHGNGPQVGNLL
IQQAASDSEKTPAMPLDTVGAMSQGEIGYWMQNAFNEVLAEEGLALDVATIVTQTIVDAK
DEAFQNPTKPIGPFYSEAEAKKQQSINPEAHFVEDAGRGWRRVVPSPRPIGIQEAPVIQK
LVEGNVITISAGGGGVPVAKEGNKLRGVEAVIDKDFASEKLAELVGADMLIILTAVDNVY
VNFNKPDQKKLTNVSVAELEDYIKDDQFAKGSMLPKIQTAIEYVNNRPDSKAIITSLDNV
KNLLAHDAGTIITK</t>
  </si>
  <si>
    <t>&gt;sp|Q9K576|ARCA_LACLM Arginine deiminase OS=Lactococcus lactis subsp. cremoris (strain MG1363) OX=416870 GN=arcA PE=3 SV=1
MNNGINVNSEIGKLKSVLLHRPGAEVENITPDTMKQLLFDDIPYLKIAQKEHDFFAQTLR
DNGAETVYIENLATEVFEKSSETKEEFLSHLLHEAGYRPGRTYDGLTEYLTSMPTKDMVE
KVYAGVRKNELDIKRTALSDMAGSDAENYFYLNPLPNAYFTRDPQASMGVGMTINKMTFP
ARQPESLITEYVMANHPRFKDTPIWRDRNHTTRIEGGDELILNKTTVAIGVSERTSSKTI
QNLAKELFANPLSTFDTVLAVEIPHNHAMMHLDTVFTMINHDQFTVFPGIMDGAGNINVF
ILRPGQDGEVEIEHLTDLKAALKKVLNLSELDLIECGAGDPIAAPREQWNDGSNTLAIAP
GEIVTYDRNYVTVELLKEHGIKVHEILSSELGRGRGGARCMSQPLWREDL</t>
  </si>
  <si>
    <t>&gt;sp|Q9KIF7|OPUAA_LACLA Glycine betaine transport ATP-binding protein OpuAA OS=Lactococcus lactis subsp. lactis (strain IL1403) OX=272623 GN=opuAA PE=1 SV=1
MPVKIKIEHLTKIFGKRIKTALTMVEKGEPKNEILKKTGATVGVYDTNFEINEGEIFVIM
GLSGSGKSTLLRLLNRLIEPTSGKIFIDNQDVATLNKEDLLQVRRKTMSMVFQNFGLFPH
RTILENTEYGLEVQNVPKEERRKRAEKALDNANLLDFKDQYPKQLSGGMQQRVGLARALA
NDPEILLMDEAFSALDPLIRREMQDELLELQAKFQKTIIFVSHDLNEALRIGDRIAIMKD
GKIMQIGTGEEILTNPANDYVKTFVEDVDRAKVITAENIMIPALTTNIDVDGPSVALKKM
KTEEVSSLMAVDKKRQFRGVVTSEQAIAARKNNQPLKDVMTTDVGTVSKEMLVRDILPII
YDAPTPLAVVDDNGFLKGVLIRGSVLEALADIPDEDEVEEIEKEEENK</t>
  </si>
  <si>
    <t>&gt;tr|U5LBQ1|U5LBQ1_9BACI Fibronectin type-III domain-containing protein OS=Bacillus infantis NRRL B-14911 OX=1367477 GN=N288_16835 PE=3 SV=1
MAENYNSREERRKQQSAGTKKKTPKKKKGGIFKKIFLVLIALGLAGIIIGAGAFAYMVKD
TPKLDEEKLKSAIASEIYDMNGEQIATIGSENRDYVEYEDIPKIVEEAVIATEDSRFYKH
HGIDPIRLGGAVLANITEGFGAEGASTITQQVAKNYFLEFDKKLSHKAQEAWLAIQLERK
YTKHEILELYMNKVNMSQYSYGFATASETYFGKPLKDLELHEAALLAGLPQSPNNYNPFN
HPDKAEKRRNIVLTLMNKHGYITKEQMEAAKKIPVTSSLVAEENRKINGDIPYDSFIGQA
IKEIDKKYPTINVFTDGLKIYTTLDKDAQEYVETMLNGNEIVEFPNEEFQAGITLLDTKT
GEIRALGGNRNSDVEFGFNYATSHTRQPGSTIKPILDYGPAIEYERWGTYHTLDDKPYAY
SNGTEFNNWDGRHMGPMSMREALARSRNVPAVMALQEVGLEKAKDFAVNLGIPLEDIQES
YAIGGLKNGVTSMQMAGAYSAFGNNGIYNAPHTVKSVELRDGTKLDLTPESKAVMKDYTA
FMITDMLKSVVKDSYGTGQQANVQGLPIAGKTGTTNYSSDEISKYNVPDGAVPDAWFAGY
TTNYTAAVWTGYKDRKNYLPSNGRDQKIAQNLFKNLMAHVSEGKETPDFKMPKSVEVVKI
EKGTSKLASAYTPSDQILTEYAVKGEAPTQVSKKYDKLDAPQGLSAVFDPEANEVVVGWE
YGSEEGVQFEVNASVDGSGQQPTVTAEKGLRFTAPSPGSTYTFSVTAFRDDMRSDPASVS
VTIPGAPEDDGQEEPEDGEDGSQDDDANQNDEENEEDNQNPGNGNGNGNGNGNGNGNGNG
NGNGNGNGGNEEDDGEGDDSGSEGESGSGGESGQTGQNGGQSGSGSGTGSGSGGSGTGSG
GSGSGSGSGSGSGSGSDGSN</t>
  </si>
  <si>
    <t>Missing accession number and no reliable way to get it - mention this as a limintation and simply search for its function in bakta?</t>
  </si>
  <si>
    <t>Notes</t>
  </si>
  <si>
    <t>Percent Identity</t>
  </si>
  <si>
    <t>Query Coverage</t>
  </si>
  <si>
    <t>Match?</t>
  </si>
  <si>
    <t>No significant similarity found.</t>
  </si>
  <si>
    <t>E Value</t>
  </si>
  <si>
    <t>No Accession Number</t>
  </si>
  <si>
    <t>Row Labels</t>
  </si>
  <si>
    <t>Match</t>
  </si>
  <si>
    <t>No Match</t>
  </si>
  <si>
    <t>Grand Total</t>
  </si>
  <si>
    <t>Count of Match?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</si>
</sst>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A2A2A"/>
      <name val="Calibri"/>
      <family val="2"/>
      <scheme val="minor"/>
    </font>
    <font>
      <i/>
      <sz val="11"/>
      <color rgb="FF242021"/>
      <name val="Calibri"/>
      <family val="2"/>
      <scheme val="minor"/>
    </font>
    <font>
      <sz val="11"/>
      <color rgb="FF242021"/>
      <name val="Calibri"/>
      <family val="2"/>
      <scheme val="minor"/>
    </font>
    <font>
      <i/>
      <sz val="11"/>
      <color rgb="FF212121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1F1F1F"/>
      <name val="Calibri"/>
      <family val="2"/>
      <scheme val="minor"/>
    </font>
    <font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0" borderId="14" xfId="0" applyBorder="1"/>
    <xf numFmtId="0" fontId="3" fillId="0" borderId="12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fill"/>
    </xf>
    <xf numFmtId="0" fontId="12" fillId="0" borderId="0" xfId="0" applyFont="1" applyAlignment="1">
      <alignment horizontal="fill" vertical="center"/>
    </xf>
    <xf numFmtId="11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5050"/>
      <color rgb="FFCC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Duke" refreshedDate="46069.617443171293" createdVersion="8" refreshedVersion="8" minRefreshableVersion="3" recordCount="242" xr:uid="{616010C0-75DB-418B-91D0-4D9A31DB1A9E}">
  <cacheSource type="worksheet">
    <worksheetSource ref="A2:M244" sheet="Probiotic Potential Identified"/>
  </cacheSource>
  <cacheFields count="13">
    <cacheField name="Gene " numFmtId="0">
      <sharedItems containsBlank="1"/>
    </cacheField>
    <cacheField name="Protein " numFmtId="0">
      <sharedItems containsBlank="1"/>
    </cacheField>
    <cacheField name="Accession number" numFmtId="0">
      <sharedItems containsBlank="1"/>
    </cacheField>
    <cacheField name="Probiotic-related mechanism" numFmtId="0">
      <sharedItems count="17">
        <s v="Stress resistance"/>
        <s v="Biosynthesis of vitamins"/>
        <s v="Exopolysaccharide biosynthesis "/>
        <s v="Starvation"/>
        <s v="Imunomodulation"/>
        <s v="Exopolysaccharide biosynthesis"/>
        <s v="Bile tolerance"/>
        <s v="Antimicrobial activity"/>
        <s v="Adhesion"/>
        <s v="Acid stress"/>
        <s v="Biofilm formation"/>
        <s v="Heat stress"/>
        <s v="Osmotic stress"/>
        <s v="Oxidative stress"/>
        <s v="Cold stress"/>
        <s v="Gut persistance"/>
        <s v="Organic solvent stress"/>
      </sharedItems>
    </cacheField>
    <cacheField name="Bacteria" numFmtId="0">
      <sharedItems containsBlank="1"/>
    </cacheField>
    <cacheField name="Reference" numFmtId="0">
      <sharedItems/>
    </cacheField>
    <cacheField name="Accession number ends in .1" numFmtId="0">
      <sharedItems/>
    </cacheField>
    <cacheField name="Sequence (if false)" numFmtId="0">
      <sharedItems containsBlank="1" longText="1"/>
    </cacheField>
    <cacheField name="Notes" numFmtId="0">
      <sharedItems containsBlank="1"/>
    </cacheField>
    <cacheField name="Query Coverage" numFmtId="0">
      <sharedItems containsBlank="1" containsMixedTypes="1" containsNumber="1" minValue="1" maxValue="99"/>
    </cacheField>
    <cacheField name="E Value" numFmtId="0">
      <sharedItems containsBlank="1" containsMixedTypes="1" containsNumber="1" minValue="0" maxValue="4.3999999999999997E-2"/>
    </cacheField>
    <cacheField name="Percent Identity" numFmtId="0">
      <sharedItems containsBlank="1" containsMixedTypes="1" containsNumber="1" minValue="22.54" maxValue="91.23"/>
    </cacheField>
    <cacheField name="Match?" numFmtId="0">
      <sharedItems count="3">
        <s v="No Match"/>
        <s v="Match"/>
        <s v="No Accession Nu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s v="mutT"/>
    <s v="Nucleoside triphosphate pyrophosphohydrolase"/>
    <s v="A0A087BKY4"/>
    <x v="0"/>
    <m/>
    <s v="[69]"/>
    <b v="0"/>
    <s v="&gt;tr|A0A087BKY4|A0A087BKY4_9BIFI MutT family NTP pyrophosphatase OS=Bifidobacterium merycicum OX=78345 GN=BMERY_1208 PE=4 SV=1_x000a_MSNKTHRRFDPWRIAPVQEMSRKVILQTHCFNIDHVAFDSLAGKPFERDFIHVKHGDTVG_x000a_VLAITNDGRIPLVEQYRLSTHRWTLEIPGGHGTSHTDRPMDIARRKLEEEAGFKAGKIQQ_x000a_FSRIMDMPGYSTQYTSLFYATDLTPTQISDFGPETPRPGLRLVTPEEAHQLVVNGTILDA_x000a_KSLVALLSLHDGLLDHHDSPDSDN"/>
    <m/>
    <s v="No significant similarity found."/>
    <s v="No significant similarity found."/>
    <s v="No significant similarity found."/>
    <x v="0"/>
  </r>
  <r>
    <s v="folC"/>
    <s v="Tetrahydrofolate synthase"/>
    <s v="A0A0G9F970"/>
    <x v="1"/>
    <s v="Lactiplantibacillus plantarum WCFS1"/>
    <s v="[65]"/>
    <b v="0"/>
    <s v="&gt;tr|A0A0G9F970|A0A0G9F970_LACPN Dihydrofolate synthase/folylpolyglutamate synthase OS=Lactiplantibacillus plantarum OX=1590 GN=folC PE=3 SV=1_x000a_MIDTYSAALAFIHGRTQFKKAPTLSRMRQFLHELGDPQLKVAGIHVAGTNGKGSTVANLR_x000a_ELFMADGLTVGTFTSPFIVRFNERISVDGTPISDEELVGLVQQIQPIVAKLDATLASGGP_x000a_TEFEIITAMMFLYFAAQPIDIAIIEVGLGGLYDSTNVWTPAVSVITTIGYDHMQILGNTL_x000a_TAIATQKAGIIKTQVPVIVGKLPAEAQQVMIDTAMSKRAPLRTLGVDFTTKLLPPQGWQE_x000a_RFNFDGLEAHFKDLTTPLLGDYQVDNAAVAIAAYLTYHQATQLPVVTSDVKAAVAATQWP_x000a_GRFERLNQDPLIMIDGAHNEPAVTELAATLSERFGQQTVYVIFAVLADKQHQQMIQTLGA_x000a_LPNVQLRLTQFEGPNAKRPATDPTMLAHEMPNGRTAEVFDNWQAALMQTLQEMSSDDALL_x000a_LTGSLYFISDVRAYFKDGSDSETD"/>
    <m/>
    <n v="92"/>
    <n v="4.9999999999999999E-67"/>
    <n v="33.17"/>
    <x v="0"/>
  </r>
  <r>
    <s v="btuD"/>
    <s v="Vitamin B12 import ATP-binding protein BtuD"/>
    <s v="A0A139MA59"/>
    <x v="1"/>
    <s v="Lacticaseibacillus rhamnosus SD4/SD11"/>
    <s v="[36]"/>
    <b v="0"/>
    <s v="&gt;_x000a_MLKVENMKVEYSGKEILSDINFSVKAGERLAILGPNGSGKSTLLKSLAGLLKYQGKIELNEQSLTTLKRIELAEKVALLSQNPAVYFSYSVYETLMMGLYTQLRKRFMAVASAQDKARVAEVIAAFDLDTIKDQQLSTLSGGQLQRVFLARTLLQNPQIVLLDEPNNHLDIYYQLEMLRNIDEYFAQNQIIIAVFHDINLALSFSENVLVLHEGKIVKQGKANEVLSRSFLEQVYQTDVLAYMLEKHKFWHEMDKKRE"/>
    <s v="uniparc"/>
    <n v="93"/>
    <n v="1.0000000000000001E-31"/>
    <n v="28.51"/>
    <x v="0"/>
  </r>
  <r>
    <s v="YwqC"/>
    <s v="Polysaccharide biosynthesis protein"/>
    <s v="A0A2R7ZYW1"/>
    <x v="2"/>
    <s v="Lactiplantibacillus plantarum JS21"/>
    <s v="[64]"/>
    <b v="0"/>
    <s v="&gt;tr|A0A2R7ZYW1|A0A2R7ZYW1_CARDV Capsular polysaccharide biosynthesis protein CpsC OS=Carnobacterium divergens OX=2748 GN=CKN69_01915 PE=3 SV=1_x000a_MEETINLSELFEVIRKRMVLIIGGGLAGIILAAVITYFFITPQFNSSTQLLVNRAKDESQ_x000a_VATQWNDLQTDVQMINTYKDIIKGPVILEDVRKKLSTTSSVEQLASKIEIITQQNSQVFT_x000a_IKVTDSDPYKAADIANTVAAVFQEKIGGIMSVQNVTQISSAHPNTSQVSPKPMLNILIGF_x000a_IVGIMGMVGVSFLLEFMDKTVRDEKFISETLGWTNLGTISEMNFDELNAKSPSSIVSRRT_x000a_KTRV"/>
    <m/>
    <s v="No significant similarity found."/>
    <s v="No significant similarity found."/>
    <s v="No significant similarity found."/>
    <x v="0"/>
  </r>
  <r>
    <s v="pstC"/>
    <s v="Phosphate transporter"/>
    <s v="A0A5P8JU76"/>
    <x v="3"/>
    <m/>
    <s v="[69]"/>
    <b v="0"/>
    <s v="&gt;tr|A0A5P8JU76|A0A5P8JU76_9LACO Phosphate transport system permease protein OS=Lacticaseibacillus manihotivorans OX=88233 GN=pstC PE=3 SV=1_x000a_MDPIKDAMTHKSRSAKIEARGHLISLACISLIVAVVLAIFFFVASRGLATFFTNKINLWD_x000a_FLSKSTWEPAVKDAHGNPQVGALPMIVGSFGVTFLSAVVATPFAVGAAIFMTEISPNLGK_x000a_KILQPVIELLVGIPSVVYGFIGLSVIVPIIRTVFGGTGFGILAGTFVLFVMILPTVTSMT_x000a_VDALKAVPRHYREASLALGGTRWQTISRVVLRAAMPGILTGVVFGMARAFGEALAVQMVI_x000a_GNAALLPKDLISPASTLTSVLTSGIGNTVMGSLDNNALWSLALLLLLMSLAFNLLIRWIG_x000a_KKGEMK"/>
    <m/>
    <n v="88"/>
    <n v="2E-95"/>
    <n v="55.72"/>
    <x v="1"/>
  </r>
  <r>
    <s v="ytrB"/>
    <s v="Vitamin B12 import ATP-binding protein"/>
    <s v="A0A6N2Y2U5"/>
    <x v="1"/>
    <s v="Lacticaseibacillus rhamnosus SD4/SD11"/>
    <s v="[36]"/>
    <b v="0"/>
    <s v="&gt;tr|A0A6N2Y2U5|A0A6N2Y2U5_LACRH ABC transporter ATP-binding protein YtrB OS=Lacticaseibacillus rhamnosus OX=47715 GN=ytrB_1 PE=4 SV=1_x000a_MTTDLLTVSHLNKHYEDFHLADVSFHLPAGYIMGFIGPNGAGKTTTIKAILDMLQPDSGA_x000a_INLLGQTTVAARKQVRDQLGVVLDGMVYPDSWQSTAVNRFVGPFFPSWDAVYFKQLCHDF_x000a_AIPEKTKYRDLSMGTKIKLQLAAALAHHPQLLILDEPTSGLDPIARDELIAILQDFISDD_x000a_QHSVLISTHSIIELAKVADYVTYLLAGKVTFTGPLSDLLGRYIMIKGGPNELTPGIQATI_x000a_IGLQQSRVGFSGIWPADQADQLPDSIVQETVDLETLMIAFGKGRRAHA"/>
    <m/>
    <n v="98"/>
    <n v="4.0000000000000003E-15"/>
    <n v="26.75"/>
    <x v="0"/>
  </r>
  <r>
    <m/>
    <s v="Aliphatic sulfonate ABC transporter substrate-binding protein SpaC"/>
    <s v="A0A7M4DTX6"/>
    <x v="4"/>
    <s v="Lacticaseibacillus rhamnosus SD4/SD11"/>
    <s v="[36]"/>
    <b v="0"/>
    <s v="&gt;tr|A0A7M4DTX6|A0A7M4DTX6_LACRG SpaC OS=Lacticaseibacillus rhamnosus (strain ATCC 53103 / LMG 18243 / GG) OX=568703 GN=LGG_00444 PE=1 SV=1_x000a_MGRDPNSTDNIRPTYQTDANGTYPTNSWQVTGQQNVINQRGGDQVSGWDNNTIWNGDATD_x000a_TTNSYLKFGDPNNPDYQIRKYAKETNTPGLYDVYLNVKGNKQQNVKPVDIVLVVDMSGSM_x000a_ESNRWGTNRAGAVRTGVKNFLTSIQNAGLGNYVNVGLIGFSSPGYIGGKSGYISVKLGKA_x000a_GNASQQQAINGALSPRFQGGTYTQIGLRQGSAMLNADTSGNKKMMILLTDGVPTFSNEVI_x000a_NSEWINGTLYGTNFGSSRDEPGNTARLRWPYTDSSGHYIYDTWPATLGEAKIAKDSGNEV_x000a_HALGIQLADDDHYMTKEKIRQNMQLITNSPDLYEDADSADAVEAYLNNQAKDIIKNFNTV_x000a_TDGTITDPIGTQFQYANNQATVTSVGKQTVPASELPSAAIQDGQLTVNHMNLGQDQEVQI_x000a_HYQVRIKTEDAGFKPDFWYQMNGETLLTPKAGAAAVDFGIPSGRAPATTVYVQKQWRQLS_x000a_NQSLPDTLNVTVQRKVADGSLDPNWQQTLVLKKADNWKASFTAPAYNNQGQSFSYVVKSE_x000a_DASGIDLSSFISSQNMDQQTATLTLTNQQYGFQFQKKTTDGTDLSADQLKAMQFNLTQYS_x000a_DNSFQQASKTNAITSTDLQALAPGYYGIQEAAAPTGYQLDGTTYLFQLTSDGQWQYHGTK_x000a_DNVTSGSVINGQQTLNPVGDKSDDFTVTGDHQQILTLTKYDEPKPSMTLRVIKQDNQSQY_x000a_LAGAAFTLQPSAGEAETITSSATSEGQAFATKLVADGTYTMSETKAPDGYQSNPAKIAIQ_x000a_VATTGKEATVTIDGEALKPGESKNGYTLAIDGSTITLQAINQPLAILPLEHHHHHH"/>
    <m/>
    <s v="No significant similarity found."/>
    <s v="No significant similarity found."/>
    <s v="No significant similarity found."/>
    <x v="0"/>
  </r>
  <r>
    <s v="cpsH"/>
    <m/>
    <s v="A0A7Y7QEU6"/>
    <x v="5"/>
    <s v="Lactic acid bacteria"/>
    <s v="[73]"/>
    <b v="0"/>
    <s v="&gt;tr|A0A7Y7QEU6|A0A7Y7QEU6_LACRH Capsular biosynthesis protein CpsH OS=Lacticaseibacillus rhamnosus OX=47715 GN=HWN39_04535 PE=4 SV=1_x000a_MSIQKQLNAFKGKRVLLLAPKFFHYIGEILDAMKDAGIDCDFLDERPLPGFTGKAIARYV_x000a_PVVNERKVRENIRQRLSENHYDYLLVIKGESLSTKLLSDFKQANPGAKTVLFLWDSVANS_x000a_KHAKAFFPDFDSVYTFDANDAAKYKIEFLPLFVGSQFDPRLTATDQQPNIDLAFIGTVHS_x000a_NRSELLNVIEELAHEEALSFYDFRYVQSKLIYAVRYMQDSAFRKSPEGTIHFDKIAASEM_x000a_LKVLRQTRIIVDVTHPKQTGLTGRVIEGLSMGRKVLTTNSKVLDYSFINQENVQIFDEHL_x000a_AHLDKDFITSPYVGNPLTVYHNFSVYNWLRTVLSGSPYAPVSD"/>
    <m/>
    <s v="No significant similarity found."/>
    <s v="No significant similarity found."/>
    <s v="No significant similarity found."/>
    <x v="0"/>
  </r>
  <r>
    <s v="cpsJ"/>
    <m/>
    <s v="A0AA87LPD0"/>
    <x v="5"/>
    <s v="Lactic acid bacteria"/>
    <s v="[73]"/>
    <b v="0"/>
    <s v="&gt;tr|A0AA87LPD0|A0AA87LPD0_BIFLL Polysaccharide capsule synthesis protein CpsJ OS=Bifidobacterium longum subsp. longum 1-6B OX=1161744 GN=cpsJ PE=3 SV=1_x000a_MVERILVTGAGGYIGRHVVKALLDDGQDVIASDLRLNDVDDRAEHIETNLFESGSDIYSK_x000a_LGKPDVCLHMAWRDGFKHNSDNHMGDLSAHYRFIKNMLDGGLPQIAVMGTMHEVGYWEGA_x000a_IDEHTPCHPASMYGIAKNALREATLMLAQEHNAAVQWLRAYYIVGDDLRGSSIFSKLLQA_x000a_AHDGKPSFPFTTGKNKYDFINVDELARQISAAVSQREVTGIINCCTGKPISLAERVEQYI_x000a_KDNDLNITLDYGAFPDRPYDSPGVWGDATKIHEILATR"/>
    <m/>
    <s v="No significant similarity found."/>
    <s v="No significant similarity found."/>
    <s v="No significant similarity found."/>
    <x v="0"/>
  </r>
  <r>
    <s v="bbmR"/>
    <m/>
    <s v="A0AAI8EVG9"/>
    <x v="6"/>
    <m/>
    <s v="[69]"/>
    <b v="0"/>
    <s v="&gt;_x000a_MEKVKAFADWLTKWFTVIVIVWAVFNYFVPAASLWGKAYTGYMLGIVLFGMGLTLTLDDFKRILTQPLMVIVGTIAHFIIMPLIAVALCAIFHLSGPLAVGVILVGCCPSGTSSNVMSYLSRGDVALDVSIGILSTLCAPFMIPLLMQLLASQYVSVPVESLFLNAVKVVLFPIALGVICHMIFGKKIEKITVALPIVSQVAILLIIGVVVAANGPKLFVASSLMAIPVVILHNLCGYSLGFGFSKLMYKIYPKGFRYAQQKAITFEVGMQDSALGETLALTSFASNPIAAVPSTFFSVWHNISGSILSSWWRNHDDKHEIHWDSDNGEKGSAKNVATGDHPFDADKKATADAKVEG"/>
    <s v="uniparc"/>
    <s v="No significant similarity found."/>
    <s v="No significant similarity found."/>
    <s v="No significant similarity found."/>
    <x v="0"/>
  </r>
  <r>
    <s v="abpT"/>
    <s v="Putative ABC exporter for bacteriocin Abp118"/>
    <s v="AAM61785.1"/>
    <x v="7"/>
    <s v="L. salivarus UCC18"/>
    <s v="[63]"/>
    <b v="1"/>
    <m/>
    <m/>
    <n v="71"/>
    <n v="3.0000000000000002E-53"/>
    <n v="30"/>
    <x v="0"/>
  </r>
  <r>
    <s v="oppA"/>
    <s v="Oligopeptide–binding protein OppA"/>
    <s v="AAO63471.1"/>
    <x v="6"/>
    <s v="Lactococcus lactis WFLU12"/>
    <s v="[66]"/>
    <b v="1"/>
    <m/>
    <m/>
    <n v="89"/>
    <n v="7E-139"/>
    <n v="46.07"/>
    <x v="1"/>
  </r>
  <r>
    <s v="cdpA"/>
    <s v="Cell division and separation protein"/>
    <s v="AAS59159.1"/>
    <x v="8"/>
    <s v="L. acidophilus NCFM"/>
    <s v="[63]"/>
    <b v="1"/>
    <m/>
    <m/>
    <n v="77"/>
    <n v="4.9999999999999999E-61"/>
    <n v="36.51"/>
    <x v="0"/>
  </r>
  <r>
    <s v="lsp"/>
    <s v="Large surface protein"/>
    <s v="AAT98629.1"/>
    <x v="8"/>
    <s v="L. reuteri 100-23"/>
    <s v="[63]"/>
    <b v="1"/>
    <m/>
    <m/>
    <s v="No significant similarity found."/>
    <s v="No significant similarity found."/>
    <s v="No significant similarity found."/>
    <x v="0"/>
  </r>
  <r>
    <s v="lspD"/>
    <s v="Large surface protein, putative mucus-binding protein"/>
    <s v="ABE00644.1"/>
    <x v="8"/>
    <s v="L. salivarus UCC18"/>
    <s v="[63]"/>
    <b v="1"/>
    <m/>
    <m/>
    <s v="No significant similarity found."/>
    <s v="No significant similarity found."/>
    <s v="No significant similarity found."/>
    <x v="0"/>
  </r>
  <r>
    <s v="dps"/>
    <s v="DNA protection during starvation protein"/>
    <s v="ABS84217.1"/>
    <x v="6"/>
    <s v="L. reuteri ATCC 55730"/>
    <s v="[63]"/>
    <b v="1"/>
    <m/>
    <m/>
    <n v="1"/>
    <n v="2.0000000000000001E-62"/>
    <n v="61.29"/>
    <x v="0"/>
  </r>
  <r>
    <s v="ldh"/>
    <s v="L-lactate dehydrogenase 1"/>
    <s v="ACJ15334.1"/>
    <x v="9"/>
    <s v="Lactobacillus plantarum (strain ATCC BAA-793 / NCIMB 8826 / WCFS1)"/>
    <s v="[67]"/>
    <b v="1"/>
    <m/>
    <m/>
    <s v="No significant similarity found."/>
    <s v="No significant similarity found."/>
    <s v="No significant similarity found."/>
    <x v="0"/>
  </r>
  <r>
    <s v="bshA"/>
    <s v="Bile salt hydrolase"/>
    <s v="ACL98175.1"/>
    <x v="6"/>
    <s v="Lactobacillus acidophilus (strain ATCC 700396 / NCK56 / N2 / NCFM)"/>
    <s v="[63]"/>
    <b v="1"/>
    <m/>
    <m/>
    <n v="1"/>
    <n v="1.0000000000000001E-130"/>
    <n v="59.82"/>
    <x v="0"/>
  </r>
  <r>
    <s v="wzy"/>
    <s v="Wzy polymerase"/>
    <s v="ACN94848.1"/>
    <x v="5"/>
    <s v="Lactic acid bacteria"/>
    <s v="[73]"/>
    <b v="1"/>
    <m/>
    <m/>
    <s v="No significant similarity found."/>
    <s v="No significant similarity found."/>
    <s v="No significant similarity found."/>
    <x v="0"/>
  </r>
  <r>
    <s v="wzx"/>
    <s v="Wzx flippase"/>
    <s v="ACN94850.1"/>
    <x v="5"/>
    <s v="Lactic acid bacteria"/>
    <s v="[73]"/>
    <b v="1"/>
    <m/>
    <m/>
    <n v="84"/>
    <n v="6E-57"/>
    <n v="31.53"/>
    <x v="0"/>
  </r>
  <r>
    <s v="cbh"/>
    <s v="Choloylglycine hydrolase family protein"/>
    <s v="ADQ60897.1"/>
    <x v="6"/>
    <s v="Lactobacillus delbrueckii susp. lactis CIDCA 133"/>
    <s v="[59]"/>
    <b v="1"/>
    <m/>
    <m/>
    <n v="99"/>
    <n v="2E-99"/>
    <n v="48.16"/>
    <x v="1"/>
  </r>
  <r>
    <s v="ltaS1"/>
    <s v="Lipoteichoic acid synthase 1"/>
    <s v="AER63657.1"/>
    <x v="6"/>
    <s v="Lacticaseibacillus rhamnosus SD4/SD11"/>
    <s v="[36]"/>
    <b v="1"/>
    <m/>
    <m/>
    <n v="96"/>
    <n v="0"/>
    <n v="55.42"/>
    <x v="1"/>
  </r>
  <r>
    <s v="fbp"/>
    <s v="Fructose-1,6-bisphosphatase class 3"/>
    <s v="AER64780.1"/>
    <x v="8"/>
    <s v="Lacticaseibacillus rhamnosus SD4/SD11"/>
    <s v="[36]"/>
    <b v="1"/>
    <m/>
    <m/>
    <s v="No significant similarity found."/>
    <s v="No significant similarity found."/>
    <s v="No significant similarity found."/>
    <x v="0"/>
  </r>
  <r>
    <s v="trpG"/>
    <s v="Anthranilate synthase component II"/>
    <s v="AGO07954.1"/>
    <x v="10"/>
    <s v="Lactiplantibacillus plantarum JS21"/>
    <s v="[64]"/>
    <b v="1"/>
    <m/>
    <m/>
    <n v="95"/>
    <n v="1.0000000000000001E-17"/>
    <n v="30.26"/>
    <x v="0"/>
  </r>
  <r>
    <s v="hcrA"/>
    <s v="Heat-inducible transcription repressor HrcA"/>
    <s v="AGO45011.1"/>
    <x v="11"/>
    <s v="Lactobacillus delbrueckii susp. lactis CIDCA 133"/>
    <s v="[59]"/>
    <b v="1"/>
    <m/>
    <m/>
    <n v="1"/>
    <n v="2.9999999999999999E-82"/>
    <n v="47.38"/>
    <x v="0"/>
  </r>
  <r>
    <m/>
    <s v="Polysaccharide transporter, PST family"/>
    <s v="AHN68122.1"/>
    <x v="2"/>
    <s v="Lactiplantibacillus plantarum JS21"/>
    <s v="[64]"/>
    <b v="1"/>
    <m/>
    <m/>
    <s v="No significant similarity found."/>
    <s v="No significant similarity found."/>
    <s v="No significant similarity found."/>
    <x v="0"/>
  </r>
  <r>
    <s v="labT"/>
    <s v="Putative ABC exporter for lactacin B"/>
    <s v="AJP47088.1"/>
    <x v="7"/>
    <s v="L. acidophilus NCFM"/>
    <s v="[63]"/>
    <b v="1"/>
    <m/>
    <m/>
    <n v="79"/>
    <n v="9.9999999999999999E-56"/>
    <n v="25.68"/>
    <x v="0"/>
  </r>
  <r>
    <s v="glgA"/>
    <s v="Starch synthase"/>
    <s v="ARW34040.1"/>
    <x v="10"/>
    <s v="Lactiplantibacillus plantarum JS21"/>
    <s v="[64]"/>
    <b v="1"/>
    <m/>
    <m/>
    <s v="No significant similarity found."/>
    <s v="No significant similarity found."/>
    <s v="No significant similarity found."/>
    <x v="0"/>
  </r>
  <r>
    <m/>
    <s v="ATP-binding cassette, subfamily F, member 3"/>
    <s v="ARW34213.1 "/>
    <x v="0"/>
    <s v="Lactiplantibacillus plantarum JS21"/>
    <s v="[64]"/>
    <b v="1"/>
    <m/>
    <m/>
    <n v="89"/>
    <n v="3.9999999999999998E-36"/>
    <n v="27.15"/>
    <x v="0"/>
  </r>
  <r>
    <s v="cysE"/>
    <s v="Serine O-acetyltransferase"/>
    <s v="ARW34239.1 "/>
    <x v="5"/>
    <s v="Lactiplantibacillus plantarum JS21"/>
    <s v="[64]"/>
    <b v="1"/>
    <m/>
    <m/>
    <n v="55.000000000000007"/>
    <n v="5.9999999999999995E-4"/>
    <n v="30.19"/>
    <x v="0"/>
  </r>
  <r>
    <s v="rpoN"/>
    <s v="RNA polymerase sigma-54 factor"/>
    <s v="ARW34684.1"/>
    <x v="10"/>
    <s v="Lactiplantibacillus plantarum JS21"/>
    <s v="[64]"/>
    <b v="1"/>
    <m/>
    <m/>
    <s v="No significant similarity found."/>
    <s v="No significant similarity found."/>
    <s v="No significant similarity found."/>
    <x v="0"/>
  </r>
  <r>
    <m/>
    <s v="H+-transporting ATPase"/>
    <s v="ARW36029.1"/>
    <x v="0"/>
    <s v="Lactiplantibacillus plantarum JS21"/>
    <s v="[64]"/>
    <b v="1"/>
    <m/>
    <m/>
    <n v="99"/>
    <n v="0"/>
    <n v="73.45"/>
    <x v="1"/>
  </r>
  <r>
    <s v="epsN"/>
    <s v="Putative pyridoxal phosphate-dependent aminotransferase EpsN"/>
    <s v="ARW40631.1"/>
    <x v="5"/>
    <s v="Bacillus amyloliquefaciens 78-1"/>
    <s v="[62]"/>
    <b v="1"/>
    <m/>
    <m/>
    <s v="No significant similarity found."/>
    <s v="No significant similarity found."/>
    <s v="No significant similarity found."/>
    <x v="0"/>
  </r>
  <r>
    <s v="epsM"/>
    <s v="Putative acetyltransferase EpsM"/>
    <s v="ARW40632.1"/>
    <x v="5"/>
    <s v="Bacillus amyloliquefaciens 78-1"/>
    <s v="[62]"/>
    <b v="1"/>
    <m/>
    <m/>
    <n v="56.999999999999993"/>
    <n v="3.0000000000000001E-6"/>
    <n v="27.48"/>
    <x v="0"/>
  </r>
  <r>
    <s v="epsL"/>
    <s v="Putative sugar transferase EpsL"/>
    <s v="ARW40633.1 "/>
    <x v="5"/>
    <s v="Bacillus amyloliquefaciens 78-1"/>
    <s v="[62]"/>
    <b v="1"/>
    <m/>
    <m/>
    <s v="No significant similarity found."/>
    <s v="No significant similarity found."/>
    <s v="No significant similarity found."/>
    <x v="0"/>
  </r>
  <r>
    <s v="katE"/>
    <s v="Catalase HPII"/>
    <s v="ATU28637.1"/>
    <x v="0"/>
    <s v="Bacillus velezensis 6-2"/>
    <s v="[62]"/>
    <b v="1"/>
    <m/>
    <m/>
    <s v="No significant similarity found."/>
    <s v="No significant similarity found."/>
    <s v="No significant similarity found."/>
    <x v="0"/>
  </r>
  <r>
    <s v="phoH"/>
    <s v="Phosphate starvation-inducible protein"/>
    <s v="AWD62214.1"/>
    <x v="3"/>
    <s v="Lactobacillus reuteri PNW1"/>
    <s v="[33]"/>
    <b v="1"/>
    <m/>
    <m/>
    <n v="93"/>
    <n v="8.0000000000000005E-123"/>
    <n v="58.28"/>
    <x v="1"/>
  </r>
  <r>
    <s v="gtfA"/>
    <s v="glucosyltransferase"/>
    <s v="AYP74780.1 "/>
    <x v="8"/>
    <s v="L. reuteri TMW1.106"/>
    <s v="[63]"/>
    <b v="1"/>
    <m/>
    <m/>
    <n v="3"/>
    <n v="4.3999999999999997E-2"/>
    <n v="28.3"/>
    <x v="0"/>
  </r>
  <r>
    <s v="ffh"/>
    <s v="Signal recognition particle protein"/>
    <s v="B6ECI9"/>
    <x v="9"/>
    <m/>
    <s v="[60]"/>
    <b v="0"/>
    <s v="&gt;tr|B6ECI9|B6ECI9_LACCA Signal recognition particle protein OS=Lacticaseibacillus casei OX=1582 GN=ffh PE=3 SV=1_x000a_MAFEGLSERLQKAFSGLRRKGKVSESDIRDAMREIRLALLEADVNFDVVKTFIKNVRTKA_x000a_LGAEVLESLTPSQQIIKIVNDELVKTMGEAAVPLNKAPHIPTVIMMAGLQGVGKTTTVGK_x000a_LSKYLMDNDSARPLLIAADVYRPAAIDQLQTIGKQLNVPVFEMGTDVDPVEIVRQGLATA_x000a_KENKNDYVLIDTAGRLQIDEKLMNELKNIKELAHPNDILLVVDAMTGQAAVDVAKGFNEQ_x000a_LDITGVVLTKLDGDTRGGAALSIRAVTGKPIKFIGQGEKMDALDVFYPDRMANRILGMGD_x000a_MLTLIDKAQKNYDEKQAMEMAEKIRENSFDFNDFLDQMDQISKMGPLEDIMKMIPGMANN_x000a_KALANVKMDPKDIAHMKAIVYSMTPQERGDPDLLNPSRRRRLAAGSGRPVVEVNRMIKQF_x000a_NQSKQMMNQMSKGNMKGLDGLMGGGVSGKLGKMAMNSMVRKQKKNKKRRLKNAKRFHS"/>
    <m/>
    <n v="90"/>
    <n v="0"/>
    <n v="66.13"/>
    <x v="1"/>
  </r>
  <r>
    <s v="ctr"/>
    <s v="Cholate transporter"/>
    <s v="BAP83215.1"/>
    <x v="6"/>
    <s v="Bifidobacterium longum NCC2705"/>
    <s v="[61]"/>
    <b v="1"/>
    <m/>
    <m/>
    <s v="No significant similarity found."/>
    <s v="No significant similarity found."/>
    <s v="No significant similarity found."/>
    <x v="0"/>
  </r>
  <r>
    <s v="galU"/>
    <s v="UTP--glucose-1-phosphate uridylyltransferase"/>
    <s v="BBA81311.1 "/>
    <x v="5"/>
    <s v="Lactiplantibacillus plantarum JS21"/>
    <s v="[64]"/>
    <b v="1"/>
    <m/>
    <m/>
    <n v="95"/>
    <n v="2.0000000000000001E-142"/>
    <n v="73.040000000000006"/>
    <x v="1"/>
  </r>
  <r>
    <s v="arcB"/>
    <s v="Ornithine carbamoyltransferase"/>
    <s v="BBA81529.1"/>
    <x v="0"/>
    <s v="Lactiplantibacillus plantarum"/>
    <s v="[63]"/>
    <b v="1"/>
    <m/>
    <m/>
    <s v="No significant similarity found."/>
    <s v="No significant similarity found."/>
    <s v="No significant similarity found."/>
    <x v="0"/>
  </r>
  <r>
    <s v="galE"/>
    <s v="UDP-glucose 4-epimerase"/>
    <s v="BBA82089.1 "/>
    <x v="5"/>
    <s v="Lactiplantibacillus plantarum JS21"/>
    <s v="[64]"/>
    <b v="1"/>
    <m/>
    <m/>
    <n v="89"/>
    <n v="9E-130"/>
    <n v="57.38"/>
    <x v="1"/>
  </r>
  <r>
    <m/>
    <s v="Cation-transporting P-type ATPase"/>
    <s v="BBA82164.1"/>
    <x v="0"/>
    <s v="Lactiplantibacillus plantarum JS21"/>
    <s v="[64]"/>
    <b v="1"/>
    <m/>
    <m/>
    <n v="99"/>
    <n v="4.0000000000000003E-152"/>
    <n v="36.049999999999997"/>
    <x v="0"/>
  </r>
  <r>
    <s v="uup"/>
    <s v="ABC transport system ATP-binding/permease protein"/>
    <s v="BBA82466.1 "/>
    <x v="0"/>
    <s v="Lactiplantibacillus plantarum JS21"/>
    <s v="[64]"/>
    <b v="1"/>
    <m/>
    <m/>
    <n v="56.000000000000007"/>
    <n v="3.9999999999999999E-66"/>
    <n v="38.979999999999997"/>
    <x v="0"/>
  </r>
  <r>
    <s v="manA"/>
    <s v="Mannose-6-phosphate isomerase"/>
    <s v="BBA82995.1"/>
    <x v="5"/>
    <s v="Lactiplantibacillus plantarum JS21"/>
    <s v="[64]"/>
    <b v="1"/>
    <m/>
    <m/>
    <n v="98"/>
    <n v="1E-108"/>
    <n v="52.66"/>
    <x v="1"/>
  </r>
  <r>
    <s v="nhaK"/>
    <s v="Monovalent cation/hydrogen antiporter"/>
    <s v="BBA83682.1"/>
    <x v="0"/>
    <s v="Lactiplantibacillus plantarum JS21"/>
    <s v="[64]"/>
    <b v="1"/>
    <m/>
    <m/>
    <n v="93"/>
    <n v="5.0000000000000003E-69"/>
    <n v="40.22"/>
    <x v="1"/>
  </r>
  <r>
    <s v="clpC"/>
    <s v="ATP-dependent Clp protease ATP-binding subunit ClpC"/>
    <s v="BBM20761.1"/>
    <x v="0"/>
    <s v="Lactiplantibacillus plantarum JS21"/>
    <s v="[64]"/>
    <b v="1"/>
    <m/>
    <m/>
    <n v="98"/>
    <n v="0"/>
    <n v="51.63"/>
    <x v="1"/>
  </r>
  <r>
    <s v="glgC"/>
    <s v="Glucose-1-phosphate adenylyltransferase"/>
    <s v="BEI48613.1"/>
    <x v="10"/>
    <s v="Lactiplantibacillus plantarum JS21"/>
    <s v="[64]"/>
    <b v="1"/>
    <m/>
    <m/>
    <s v="No significant similarity found."/>
    <s v="No significant similarity found."/>
    <s v="No significant similarity found."/>
    <x v="0"/>
  </r>
  <r>
    <s v="clpQ"/>
    <m/>
    <s v="BET17608.1"/>
    <x v="0"/>
    <s v="Bacillus velezensis 6-2"/>
    <s v="[62]"/>
    <b v="1"/>
    <m/>
    <m/>
    <n v="96"/>
    <n v="2.0000000000000001E-53"/>
    <n v="49.43"/>
    <x v="1"/>
  </r>
  <r>
    <s v="pgk"/>
    <s v="Phosphoglycerate kinase"/>
    <s v="CAD99189.1"/>
    <x v="0"/>
    <s v="Lactobacillus plantarum (strain ATCC BAA-793 / NCIMB 8826 / WCFS1)"/>
    <s v="[67]"/>
    <b v="1"/>
    <m/>
    <m/>
    <n v="1"/>
    <n v="0"/>
    <n v="72.28"/>
    <x v="0"/>
  </r>
  <r>
    <m/>
    <s v="Monovalent cation: H+ antiporter-2, CPA2 family"/>
    <s v="CDN26992.1"/>
    <x v="0"/>
    <s v="Lactiplantibacillus plantarum JS21"/>
    <s v="[64]"/>
    <b v="1"/>
    <m/>
    <m/>
    <n v="96"/>
    <n v="9.9999999999999999E-133"/>
    <n v="39.46"/>
    <x v="0"/>
  </r>
  <r>
    <s v="crr"/>
    <s v="Sugar PTS system EIIA component"/>
    <s v="CDN28543.1"/>
    <x v="10"/>
    <s v="Lactiplantibacillus plantarum JS21"/>
    <s v="[64]"/>
    <b v="1"/>
    <m/>
    <m/>
    <s v="No significant similarity found."/>
    <s v="No significant similarity found."/>
    <s v="No significant similarity found."/>
    <x v="0"/>
  </r>
  <r>
    <s v="dltB"/>
    <s v="Membrane protein involved in D-alanine export"/>
    <s v="CDN28879.1"/>
    <x v="0"/>
    <s v="Lactiplantibacillus plantarum JS21"/>
    <s v="[64]"/>
    <b v="1"/>
    <m/>
    <m/>
    <n v="99"/>
    <n v="9.9999999999999994E-158"/>
    <n v="59.21"/>
    <x v="1"/>
  </r>
  <r>
    <s v="folQ"/>
    <s v="Probable DHNTP pyrophosphohydrolase"/>
    <s v="D8KIT5"/>
    <x v="1"/>
    <s v="Lactiplantibacillus plantarum WCFS1"/>
    <s v="[65]"/>
    <b v="0"/>
    <s v="&gt;sp|D8KIT5|FOLQ_LACLN Probable DHNTP pyrophosphohydrolase OS=Lactococcus lactis subsp. cremoris (strain NZ9000) OX=746361 GN=folQ PE=1 SV=1_x000a_MNEDLISQIKEVVTAENQEKLIKIIQLLESSNYELRGKINPDLQLSASALVFKEDKLFFI_x000a_EHPYQKELLLPAGHVELKESPLDTAIREFHEETGFFAKKMGKLVDVNLIDIPFNETKNEK_x000a_KHQHIDFRYLLELEEQEAELAELPFFLLELEEAPEEFKKYYRYKNI"/>
    <m/>
    <s v="No significant similarity found."/>
    <s v="No significant similarity found."/>
    <s v="No significant similarity found."/>
    <x v="0"/>
  </r>
  <r>
    <s v="luxS"/>
    <s v="S-ribosylhomocysteine lyase"/>
    <s v="EFK29741.1"/>
    <x v="0"/>
    <s v="Lactobacillus plantarum (strain ATCC BAA-793 / NCIMB 8826 / WCFS1)"/>
    <s v="[63]"/>
    <b v="1"/>
    <m/>
    <m/>
    <s v="No significant similarity found."/>
    <s v="No significant similarity found."/>
    <s v="No significant similarity found."/>
    <x v="0"/>
  </r>
  <r>
    <s v="epsF"/>
    <s v="Putative glycosyltransferase EpsF"/>
    <s v="EHJ30283.1"/>
    <x v="5"/>
    <s v="Lacticaseibacillus rhamnosus SD11"/>
    <s v="[36]"/>
    <b v="1"/>
    <m/>
    <m/>
    <s v="No significant similarity found."/>
    <s v="No significant similarity found."/>
    <s v="No significant similarity found."/>
    <x v="0"/>
  </r>
  <r>
    <s v="msa"/>
    <s v="Mannose-specific adhesin"/>
    <s v="EHS83650.1 "/>
    <x v="8"/>
    <s v="L. plantarum WCFS1"/>
    <s v="[63]"/>
    <b v="1"/>
    <m/>
    <m/>
    <n v="26"/>
    <n v="1.0000000000000001E-15"/>
    <n v="40.159999999999997"/>
    <x v="0"/>
  </r>
  <r>
    <s v="lamA"/>
    <m/>
    <s v="F9ULD5"/>
    <x v="8"/>
    <s v="L. plantarum WCFS1"/>
    <s v="[63]"/>
    <b v="0"/>
    <s v="&gt;tr|F9ULD5|F9ULD5_LACPL Two-component system response regulator accesory gene regulator protein A OS=Lactiplantibacillus plantarum (strain ATCC BAA-793 / NCIMB 8826 / WCFS1) OX=220668 GN=lamA PE=4 SV=1_x000a_MISVYICEDDPKQLQQIRQIITKVIVDQQLDMSICLACQDPHELLDKVNAQQPQKAIYVL_x000a_DIALNSDVNGIQLASQIRDMGRRSKIIFITTHTELSLMVFQYQVEALDFILKDFPDSLYE_x000a_RFSKVLHVAQDRFQTDENDQDDYVQIKIAETVRSINVKSIIFFESSTSPHKIVVHLDDGE_x000a_LEYYGLLKDVPDLSPNFYRCHKSYVVNLKRIKSLDKHLRRLTMTNGEKVLCSAQANRYLA_x000a_KWLAKKS"/>
    <m/>
    <s v="No significant similarity found."/>
    <s v="No significant similarity found."/>
    <s v="No significant similarity found."/>
    <x v="0"/>
  </r>
  <r>
    <s v="iolS"/>
    <s v="General stress protein 69"/>
    <s v="GEL84046.1"/>
    <x v="12"/>
    <s v="Leuconostoc mesenteroides strain F-22"/>
    <s v="[57]"/>
    <b v="1"/>
    <m/>
    <m/>
    <n v="92"/>
    <n v="2E-16"/>
    <n v="22.77"/>
    <x v="0"/>
  </r>
  <r>
    <s v="licD"/>
    <s v="Lipopolysaccharide cholinephosphotransferase"/>
    <s v="GIQ93404.1"/>
    <x v="5"/>
    <s v="Lactiplantibacillus plantarum JS21"/>
    <s v="[64]"/>
    <b v="1"/>
    <m/>
    <m/>
    <s v="No significant similarity found."/>
    <s v="No significant similarity found."/>
    <s v="No significant similarity found."/>
    <x v="0"/>
  </r>
  <r>
    <s v="nhaX"/>
    <s v="Stress response protein NhaX"/>
    <s v="GJJ25118.1 "/>
    <x v="0"/>
    <s v="Bacillus velezensis 6-2"/>
    <s v="[62]"/>
    <b v="1"/>
    <m/>
    <m/>
    <n v="22"/>
    <n v="1.7000000000000001E-2"/>
    <n v="41.67"/>
    <x v="0"/>
  </r>
  <r>
    <s v="clpY"/>
    <m/>
    <s v="GJJ25742.1"/>
    <x v="0"/>
    <s v="Bacillus velezensis 6-2"/>
    <s v="[62]"/>
    <b v="1"/>
    <m/>
    <m/>
    <n v="99"/>
    <n v="3E-152"/>
    <n v="54.72"/>
    <x v="1"/>
  </r>
  <r>
    <s v="malP"/>
    <s v="Maltose phosphorylase"/>
    <s v="GMB71043.1"/>
    <x v="8"/>
    <s v="Lacticaseibacillus rhamnosus SD4/SD11"/>
    <s v="[36]"/>
    <b v="1"/>
    <m/>
    <m/>
    <n v="99"/>
    <n v="0"/>
    <n v="68.58"/>
    <x v="1"/>
  </r>
  <r>
    <s v="epsD"/>
    <s v="Putative glycosyltransferase EpsD"/>
    <s v="GMB71190.1"/>
    <x v="5"/>
    <m/>
    <s v="[62]"/>
    <b v="1"/>
    <m/>
    <m/>
    <n v="62"/>
    <n v="9.9999999999999994E-12"/>
    <n v="25.3"/>
    <x v="0"/>
  </r>
  <r>
    <s v="cobB"/>
    <s v="NAD-dependent protein deacetylase"/>
    <s v="GMB71347.1"/>
    <x v="1"/>
    <s v="Lacticaseibacillus rhamnosus SD4/SD11"/>
    <s v="[36]"/>
    <b v="1"/>
    <m/>
    <m/>
    <n v="96"/>
    <n v="3.9999999999999998E-20"/>
    <n v="27.08"/>
    <x v="0"/>
  </r>
  <r>
    <s v="folT"/>
    <s v="Folate transporter FolT"/>
    <s v="GMB71600.1"/>
    <x v="1"/>
    <s v="Lacticaseibacillus rhamnosus SD4/SD11"/>
    <s v="[36]"/>
    <b v="1"/>
    <m/>
    <m/>
    <n v="98"/>
    <n v="3.9999999999999999E-16"/>
    <n v="29.82"/>
    <x v="0"/>
  </r>
  <r>
    <s v="cfa"/>
    <s v="Cyclopropane-fatty-acyl-phospholipid synthase"/>
    <s v="GMB71742.1 "/>
    <x v="6"/>
    <s v="Lacticaseibacillus rhamnosus SD4/SD11"/>
    <s v="[36]"/>
    <b v="1"/>
    <m/>
    <m/>
    <s v="No significant similarity found."/>
    <s v="No significant similarity found."/>
    <s v="No significant similarity found."/>
    <x v="0"/>
  </r>
  <r>
    <s v="ddl"/>
    <s v="D-alanine--D-alanine ligase"/>
    <s v="GMB73427.1"/>
    <x v="9"/>
    <m/>
    <s v="[63]"/>
    <b v="1"/>
    <m/>
    <m/>
    <n v="97"/>
    <n v="2.0000000000000001E-27"/>
    <n v="28.07"/>
    <x v="0"/>
  </r>
  <r>
    <s v="bmrA"/>
    <m/>
    <s v="K0NBW3"/>
    <x v="6"/>
    <m/>
    <s v="[69]"/>
    <b v="0"/>
    <s v="&gt;_x000a_MSNINPSRSYLFAVDWLVGLVWFMAGFFATCLRFLIGFAMMFLGKKMSAQNKAHLAGFLRMGGRFMNDLSGMNTLVMYNAADRYAKKFADDSEYFRQATMNLLRTQLQVLFVINGFVYLTVFAGGFVTALQLAAGQLPAAGAFATWFALAMMMVNARQLGYFFHVVKSNGPALAGILATIAKSKTTPATVKITDNRPLKQLVLQDVAIGYEADAPLVSDINATLVPGKLYGLAGENGTGKSTLTQALLGQLTPLSGTIMADNTPVTALSNAQRAAVFGYVAANDYIFSGTIKENLLLGNQFGDQWQQHLDELGLMHFVTDLQDGYATEVGEGGRLLSPGQRQQLAFARMLLADKTVYLLDEMTSSIDAANAAIILAAIKRLSRQKIVLFISHDLSAMAEADVVWFIHDHQLISADHAQLYRDQPAYRHLVDNPEAMLKEGQPS"/>
    <s v="uniparc"/>
    <n v="53"/>
    <n v="1.0000000000000001E-30"/>
    <n v="32.22"/>
    <x v="0"/>
  </r>
  <r>
    <s v="trpE"/>
    <s v="Anthranilate synthase component I"/>
    <s v="KAF1285217.1"/>
    <x v="10"/>
    <s v="Lactiplantibacillus plantarum JS21"/>
    <s v="[64]"/>
    <b v="1"/>
    <m/>
    <m/>
    <s v="No significant similarity found."/>
    <s v="No significant similarity found."/>
    <s v="No significant similarity found."/>
    <x v="0"/>
  </r>
  <r>
    <s v="epsB"/>
    <s v="Protein-tyrosine kinase"/>
    <s v="KFL88978.1"/>
    <x v="5"/>
    <s v="Lactiplantibacillus plantarum JS21"/>
    <s v="[64]"/>
    <b v="1"/>
    <m/>
    <m/>
    <s v="No significant similarity found."/>
    <s v="No significant similarity found."/>
    <s v="No significant similarity found."/>
    <x v="0"/>
  </r>
  <r>
    <s v="opuAB"/>
    <s v="Glycine betaine ABC transport system, permease protein OpuAB"/>
    <s v="KGF75791.1"/>
    <x v="12"/>
    <s v="Lactococcus lactis NZ9000"/>
    <s v="[71]"/>
    <b v="1"/>
    <m/>
    <m/>
    <s v="No significant similarity found."/>
    <s v="No significant similarity found."/>
    <s v="No significant similarity found."/>
    <x v="0"/>
  </r>
  <r>
    <s v="fnbA"/>
    <s v="Fibronectin-binding protein"/>
    <s v="KHE29547.1"/>
    <x v="8"/>
    <s v="L. acidophilus NCFM"/>
    <s v="[63]"/>
    <b v="1"/>
    <m/>
    <m/>
    <s v="No significant similarity found."/>
    <s v="No significant similarity found."/>
    <s v="No significant similarity found."/>
    <x v="0"/>
  </r>
  <r>
    <m/>
    <s v="NADH dehydrogenase"/>
    <s v="KJY65681.1"/>
    <x v="13"/>
    <s v="B. asteroides PRL2011"/>
    <s v="[69]"/>
    <b v="1"/>
    <m/>
    <m/>
    <n v="99"/>
    <n v="8E-73"/>
    <n v="35.5"/>
    <x v="0"/>
  </r>
  <r>
    <s v="cydA"/>
    <s v="Cytochrome ubiquinol oxidade subunit I"/>
    <s v="KJY65686.1"/>
    <x v="13"/>
    <s v="B. asteroides PRL2011"/>
    <s v="[69]"/>
    <b v="1"/>
    <m/>
    <m/>
    <n v="89"/>
    <n v="3E-152"/>
    <n v="52.58"/>
    <x v="1"/>
  </r>
  <r>
    <s v="epsA"/>
    <s v="Protein tyrosine kinase modulator"/>
    <s v="KKJ81023.1"/>
    <x v="5"/>
    <s v="Lactiplantibacillus plantarum JS21"/>
    <s v="[64]"/>
    <b v="1"/>
    <m/>
    <m/>
    <s v="No significant similarity found."/>
    <s v="No significant similarity found."/>
    <s v="No significant similarity found."/>
    <x v="0"/>
  </r>
  <r>
    <s v="arnC"/>
    <s v="Undecaprenyl-phosphate 4-deoxy-4-formamido-l-arabinose transferase"/>
    <s v="KRK28629.1 "/>
    <x v="8"/>
    <s v="Lacticaseibacillus rhamnosus SD4"/>
    <s v="[36]"/>
    <b v="1"/>
    <m/>
    <m/>
    <n v="99"/>
    <n v="6.0000000000000003E-92"/>
    <n v="50.64"/>
    <x v="1"/>
  </r>
  <r>
    <s v="samB"/>
    <m/>
    <s v="KRN25141.1"/>
    <x v="0"/>
    <m/>
    <s v="[69]"/>
    <b v="1"/>
    <m/>
    <m/>
    <n v="79"/>
    <n v="3.9999999999999997E-76"/>
    <n v="39.53"/>
    <x v="0"/>
  </r>
  <r>
    <s v="arcC"/>
    <s v="carbamate kinase"/>
    <s v="O53090"/>
    <x v="0"/>
    <s v="Lactobacilli"/>
    <s v="[63]"/>
    <b v="0"/>
    <s v="&gt;sp|O53090|ARCC_LATSK Carbamate kinase OS=Latilactobacillus sakei OX=1599 GN=arcC PE=3 SV=1_x000a_MTKRKIVVALGGNAILSTDASANAQIKAVKETVKQLVAFVKQGDQLIISHGNGPQVGNLL_x000a_IQQAASDSEKTPAMPLDTVGAMSQGEIGYWMQNAFNEVLAEEGLALDVATIVTQTIVDAK_x000a_DEAFQNPTKPIGPFYSEAEAKKQQSINPEAHFVEDAGRGWRRVVPSPRPIGIQEAPVIQK_x000a_LVEGNVITISAGGGGVPVAKEGNKLRGVEAVIDKDFASEKLAELVGADMLIILTAVDNVY_x000a_VNFNKPDQKKLTNVSVAELEDYIKDDQFAKGSMLPKIQTAIEYVNNRPDSKAIITSLDNV_x000a_KNLLAHDAGTIITK"/>
    <m/>
    <s v="No significant similarity found."/>
    <s v="No significant similarity found."/>
    <s v="No significant similarity found."/>
    <x v="0"/>
  </r>
  <r>
    <s v="wzb"/>
    <s v="Phospgotyrosine protein phosphatase"/>
    <s v="OAU66500.1 "/>
    <x v="5"/>
    <s v="L. rhamnosus GG"/>
    <s v="[63]"/>
    <b v="1"/>
    <s v="MTKRKIVVALGGNAILSTDASANAQIKAVKETVKQLVAFVKQGDQLIISHGNGPQVGNLL"/>
    <m/>
    <n v="97"/>
    <n v="6.0000000000000003E-73"/>
    <n v="48.75"/>
    <x v="1"/>
  </r>
  <r>
    <s v="clpL"/>
    <s v="ATP-dependent Clp protease ATP-binding subunit ClpL"/>
    <s v="OUT05393.1 "/>
    <x v="0"/>
    <s v="Lactiplantibacillus plantarum JS21"/>
    <s v="[64]"/>
    <b v="1"/>
    <s v="IQQAASDSEKTPAMPLDTVGAMSQGEIGYWMQNAFNEVLAEEGLALDVATIVTQTIVDAK"/>
    <m/>
    <n v="89"/>
    <n v="0"/>
    <n v="49.21"/>
    <x v="1"/>
  </r>
  <r>
    <s v="osmV"/>
    <s v="Osmoprotectant import ATP-binding protein OsmV"/>
    <s v="PLW60837.1 "/>
    <x v="12"/>
    <s v="Lactococcus lactis WFLU12"/>
    <s v="[66]"/>
    <b v="1"/>
    <s v="DEAFQNPTKPIGPFYSEAEAKKQQSINPEAHFVEDAGRGWRRVVPSPRPIGIQEAPVIQK"/>
    <m/>
    <n v="95"/>
    <n v="3.0000000000000002E-55"/>
    <n v="34.19"/>
    <x v="0"/>
  </r>
  <r>
    <s v="opuCB"/>
    <s v="Glycine betaine/carnitine/choline transport system permease protein OpuCB"/>
    <s v="PLW60838.1"/>
    <x v="12"/>
    <s v="Lactococcus lactis WFLU12"/>
    <s v="[66]"/>
    <b v="1"/>
    <s v="LVEGNVITISAGGGGVPVAKEGNKLRGVEAVIDKDFASEKLAELVGADMLIILTAVDNVY"/>
    <m/>
    <s v="No significant similarity found."/>
    <s v="No significant similarity found."/>
    <s v="No significant similarity found."/>
    <x v="0"/>
  </r>
  <r>
    <s v="glc"/>
    <s v="Gamma-glutamylcysteine synthetase"/>
    <s v="PWH09581.1"/>
    <x v="9"/>
    <s v="B. longum BBMN68"/>
    <s v="[69]"/>
    <b v="1"/>
    <s v="VNFNKPDQKKLTNVSVAELEDYIKDDQFAKGSMLPKIQTAIEYVNNRPDSKAIITSLDNV"/>
    <m/>
    <s v="No significant similarity found."/>
    <s v="No significant similarity found."/>
    <s v="No significant similarity found."/>
    <x v="0"/>
  </r>
  <r>
    <s v="glmU"/>
    <s v="Bifunctional UDP-N-acetylglucosamine pyrophosphorylase "/>
    <s v="Q88Z86.1"/>
    <x v="5"/>
    <s v="Lactiplantibacillus plantarum JS21"/>
    <s v="[64]"/>
    <b v="1"/>
    <s v="KNLLAHDAGTIITK"/>
    <m/>
    <n v="98"/>
    <n v="0"/>
    <n v="59.87"/>
    <x v="1"/>
  </r>
  <r>
    <s v="arcA"/>
    <s v="Arginine deiminase"/>
    <s v="Q9K576"/>
    <x v="0"/>
    <s v="Lactobacilli"/>
    <s v="[63]"/>
    <b v="0"/>
    <s v="&gt;sp|Q9K576|ARCA_LACLM Arginine deiminase OS=Lactococcus lactis subsp. cremoris (strain MG1363) OX=416870 GN=arcA PE=3 SV=1_x000a_MNNGINVNSEIGKLKSVLLHRPGAEVENITPDTMKQLLFDDIPYLKIAQKEHDFFAQTLR_x000a_DNGAETVYIENLATEVFEKSSETKEEFLSHLLHEAGYRPGRTYDGLTEYLTSMPTKDMVE_x000a_KVYAGVRKNELDIKRTALSDMAGSDAENYFYLNPLPNAYFTRDPQASMGVGMTINKMTFP_x000a_ARQPESLITEYVMANHPRFKDTPIWRDRNHTTRIEGGDELILNKTTVAIGVSERTSSKTI_x000a_QNLAKELFANPLSTFDTVLAVEIPHNHAMMHLDTVFTMINHDQFTVFPGIMDGAGNINVF_x000a_ILRPGQDGEVEIEHLTDLKAALKKVLNLSELDLIECGAGDPIAAPREQWNDGSNTLAIAP_x000a_GEIVTYDRNYVTVELLKEHGIKVHEILSSELGRGRGGARCMSQPLWREDL"/>
    <m/>
    <s v="No significant similarity found."/>
    <s v="No significant similarity found."/>
    <s v="No significant similarity found."/>
    <x v="0"/>
  </r>
  <r>
    <s v="opuA"/>
    <s v="Glycine betaine ABC transport system, ATP-binding protein OpuAA (EC 3.6.3.32)"/>
    <s v="Q9KIF7"/>
    <x v="12"/>
    <s v="Lactococcus lactis NZ9000"/>
    <s v="[71]"/>
    <b v="0"/>
    <s v="&gt;sp|Q9KIF7|OPUAA_LACLA Glycine betaine transport ATP-binding protein OpuAA OS=Lactococcus lactis subsp. lactis (strain IL1403) OX=272623 GN=opuAA PE=1 SV=1_x000a_MPVKIKIEHLTKIFGKRIKTALTMVEKGEPKNEILKKTGATVGVYDTNFEINEGEIFVIM_x000a_GLSGSGKSTLLRLLNRLIEPTSGKIFIDNQDVATLNKEDLLQVRRKTMSMVFQNFGLFPH_x000a_RTILENTEYGLEVQNVPKEERRKRAEKALDNANLLDFKDQYPKQLSGGMQQRVGLARALA_x000a_NDPEILLMDEAFSALDPLIRREMQDELLELQAKFQKTIIFVSHDLNEALRIGDRIAIMKD_x000a_GKIMQIGTGEEILTNPANDYVKTFVEDVDRAKVITAENIMIPALTTNIDVDGPSVALKKM_x000a_KTEEVSSLMAVDKKRQFRGVVTSEQAIAARKNNQPLKDVMTTDVGTVSKEMLVRDILPII_x000a_YDAPTPLAVVDDNGFLKGVLIRGSVLEALADIPDEDEVEEIEKEEENK"/>
    <m/>
    <n v="59"/>
    <n v="1E-54"/>
    <n v="39.590000000000003"/>
    <x v="0"/>
  </r>
  <r>
    <s v="arcD"/>
    <s v="Arginine/Ornithine antiporter"/>
    <s v="QGV17528.1"/>
    <x v="0"/>
    <s v="Lactobacilli"/>
    <s v="[63]"/>
    <b v="1"/>
    <m/>
    <m/>
    <s v="No significant similarity found."/>
    <s v="No significant similarity found."/>
    <s v="No significant similarity found."/>
    <x v="0"/>
  </r>
  <r>
    <s v="groEL"/>
    <s v="60 kDa chaperonin groEL"/>
    <s v="QOC80327.1"/>
    <x v="0"/>
    <s v="Bacillus velezensis 6-2"/>
    <s v="[62]"/>
    <b v="1"/>
    <m/>
    <m/>
    <n v="96"/>
    <n v="0"/>
    <n v="68.38"/>
    <x v="1"/>
  </r>
  <r>
    <s v="vraR"/>
    <s v="Response regulator protein VraR"/>
    <s v="QOY26150.1"/>
    <x v="0"/>
    <s v="Bacillus velezensis 6-2"/>
    <s v="[62]"/>
    <b v="1"/>
    <m/>
    <m/>
    <n v="67"/>
    <n v="7.9999999999999998E-12"/>
    <n v="26.95"/>
    <x v="0"/>
  </r>
  <r>
    <s v="ImpB"/>
    <m/>
    <s v="RBQ00146.1"/>
    <x v="0"/>
    <m/>
    <s v="[69]"/>
    <b v="1"/>
    <m/>
    <m/>
    <s v="No significant similarity found."/>
    <s v="No significant similarity found."/>
    <s v="No significant similarity found."/>
    <x v="0"/>
  </r>
  <r>
    <s v="epsE"/>
    <m/>
    <s v="RNE46567.1"/>
    <x v="5"/>
    <s v="Lactic acid bacteria"/>
    <s v="[73]"/>
    <b v="1"/>
    <m/>
    <m/>
    <n v="57.999999999999993"/>
    <n v="1.0000000000000001E-5"/>
    <n v="23.91"/>
    <x v="0"/>
  </r>
  <r>
    <m/>
    <s v="Lysozyme-like"/>
    <s v="SIR36975.1 "/>
    <x v="0"/>
    <s v="Bacillus amyloliquefaciens 78-1"/>
    <s v="[62]"/>
    <b v="1"/>
    <m/>
    <m/>
    <s v="No significant similarity found."/>
    <s v="No significant similarity found."/>
    <s v="No significant similarity found."/>
    <x v="0"/>
  </r>
  <r>
    <s v="yceC"/>
    <s v="Stress response protein SCP2"/>
    <s v="SIS25599.1"/>
    <x v="0"/>
    <s v="Bacillus velezensis 6-2"/>
    <s v="[62]"/>
    <b v="1"/>
    <m/>
    <m/>
    <s v="No significant similarity found."/>
    <s v="No significant similarity found."/>
    <s v="No significant similarity found."/>
    <x v="0"/>
  </r>
  <r>
    <s v="cpdA"/>
    <s v="3',5'-cyclic-AMP phosphodiesterase"/>
    <s v="SPH08255.1"/>
    <x v="10"/>
    <s v="Lactiplantibacillus plantarum JS21"/>
    <s v="[64]"/>
    <b v="1"/>
    <m/>
    <m/>
    <n v="56.000000000000007"/>
    <n v="2.9999999999999999E-7"/>
    <n v="24.87"/>
    <x v="0"/>
  </r>
  <r>
    <s v="gbuB"/>
    <s v="Glycine betaine/carnitine transport permease protein GbuB"/>
    <s v="SPS11804.1"/>
    <x v="12"/>
    <s v="Lactococcus lactis WFLU12"/>
    <s v="[66]"/>
    <b v="1"/>
    <m/>
    <m/>
    <s v="No significant similarity found."/>
    <s v="No significant similarity found."/>
    <s v="No significant similarity found."/>
    <x v="0"/>
  </r>
  <r>
    <s v="ywaC"/>
    <s v="GTP diphosphokinase"/>
    <s v="SPS11905.1"/>
    <x v="9"/>
    <s v="Lactococcus lactis WFLU12"/>
    <s v="[66]"/>
    <b v="1"/>
    <m/>
    <m/>
    <n v="81"/>
    <n v="1.9999999999999999E-38"/>
    <n v="38.22"/>
    <x v="0"/>
  </r>
  <r>
    <s v="yjbM"/>
    <s v="GTP diphosphokinase"/>
    <s v="SPS12744.1"/>
    <x v="9"/>
    <s v="Lactococcus lactis WFLU12"/>
    <s v="[66]"/>
    <b v="1"/>
    <m/>
    <m/>
    <n v="94"/>
    <n v="3.9999999999999998E-67"/>
    <n v="51.94"/>
    <x v="1"/>
  </r>
  <r>
    <s v="sigA"/>
    <s v="RNA polymerase sigma factor SigA"/>
    <s v="SPS15068.1"/>
    <x v="0"/>
    <m/>
    <s v="[69]"/>
    <b v="1"/>
    <m/>
    <m/>
    <n v="92"/>
    <n v="0"/>
    <n v="91.23"/>
    <x v="1"/>
  </r>
  <r>
    <s v="ribZ"/>
    <s v="Riboflavin transporter RibZ"/>
    <s v="SSA27157.1"/>
    <x v="1"/>
    <s v="Lacticaseibacillus rhamnosus SD4/SD11"/>
    <s v="[36]"/>
    <b v="1"/>
    <m/>
    <m/>
    <n v="90"/>
    <n v="2.0000000000000001E-53"/>
    <n v="30.77"/>
    <x v="0"/>
  </r>
  <r>
    <s v="ctsR"/>
    <s v="Transcriptional regulator CtsR"/>
    <s v="SSA27692.1"/>
    <x v="11"/>
    <s v="Lacticaseibacillus rhamnosus SD4/SD11"/>
    <s v="[36]"/>
    <b v="1"/>
    <m/>
    <m/>
    <s v="No significant similarity found."/>
    <s v="No significant similarity found."/>
    <s v="No significant similarity found."/>
    <x v="0"/>
  </r>
  <r>
    <s v="cspLA"/>
    <s v="Cold shock-like protein CspLA"/>
    <s v="SSA27742.1"/>
    <x v="14"/>
    <s v="Lacticaseibacillus rhamnosus SD4/SD11"/>
    <s v="[36]"/>
    <b v="1"/>
    <m/>
    <m/>
    <s v="No significant similarity found."/>
    <s v="No significant similarity found."/>
    <s v="No significant similarity found."/>
    <x v="0"/>
  </r>
  <r>
    <s v="cobC"/>
    <s v="Adenosylcobalamin/alpha-ribazole phosphatase"/>
    <s v="SSA28505.1"/>
    <x v="1"/>
    <s v="Lacticaseibacillus rhamnosus SD4/SD11"/>
    <s v="[36]"/>
    <b v="1"/>
    <m/>
    <m/>
    <n v="78"/>
    <n v="3E-11"/>
    <n v="30.56"/>
    <x v="0"/>
  </r>
  <r>
    <s v="epsH"/>
    <s v="Putative glycosyltransferase EpsH"/>
    <s v="SSA28768.1"/>
    <x v="5"/>
    <s v="Lacticaseibacillus rhamnosus SD4/SD11"/>
    <s v="[36]"/>
    <b v="1"/>
    <m/>
    <m/>
    <n v="89"/>
    <n v="5.0000000000000004E-16"/>
    <n v="24.03"/>
    <x v="0"/>
  </r>
  <r>
    <s v="msrA"/>
    <s v="Peptide methionine sulfoxide reductase MsrA"/>
    <s v="SSA29564.1"/>
    <x v="13"/>
    <s v="Lacticaseibacillus rhamnosus SD4/SD11"/>
    <s v="[36]"/>
    <b v="1"/>
    <m/>
    <m/>
    <n v="99"/>
    <n v="1E-54"/>
    <n v="58.6"/>
    <x v="1"/>
  </r>
  <r>
    <m/>
    <s v="Transglycosylase-associated protein"/>
    <s v="STY37033.1"/>
    <x v="6"/>
    <s v="Leuconostoc mesenteroides strain F-21"/>
    <s v="[57]"/>
    <b v="1"/>
    <m/>
    <m/>
    <s v="No significant similarity found."/>
    <s v="No significant similarity found."/>
    <s v="No significant similarity found."/>
    <x v="0"/>
  </r>
  <r>
    <m/>
    <s v="Oxalyl-CoA decarboxylase"/>
    <s v="TFZ23727.1"/>
    <x v="9"/>
    <s v="B. dentium bd1"/>
    <s v="[69]"/>
    <b v="1"/>
    <m/>
    <m/>
    <s v="No significant similarity found."/>
    <s v="No significant similarity found."/>
    <s v="No significant similarity found."/>
    <x v="0"/>
  </r>
  <r>
    <s v="gpmB/pspA"/>
    <s v="Histidine phosphatase family protein"/>
    <s v="TRW71625.1"/>
    <x v="9"/>
    <s v="Lactococcus lactis WFLU12"/>
    <s v="[66]"/>
    <b v="1"/>
    <m/>
    <m/>
    <n v="97"/>
    <n v="3.0000000000000003E-20"/>
    <n v="29.28"/>
    <x v="0"/>
  </r>
  <r>
    <s v="fn3"/>
    <s v="Fibronectin type III-like domain"/>
    <s v="U5LBQ1"/>
    <x v="8"/>
    <s v="Bacillus infantis 63-11"/>
    <s v="[62]"/>
    <b v="0"/>
    <s v="&gt;tr|U5LBQ1|U5LBQ1_9BACI Fibronectin type-III domain-containing protein OS=Bacillus infantis NRRL B-14911 OX=1367477 GN=N288_16835 PE=3 SV=1_x000a_MAENYNSREERRKQQSAGTKKKTPKKKKGGIFKKIFLVLIALGLAGIIIGAGAFAYMVKD_x000a_TPKLDEEKLKSAIASEIYDMNGEQIATIGSENRDYVEYEDIPKIVEEAVIATEDSRFYKH_x000a_HGIDPIRLGGAVLANITEGFGAEGASTITQQVAKNYFLEFDKKLSHKAQEAWLAIQLERK_x000a_YTKHEILELYMNKVNMSQYSYGFATASETYFGKPLKDLELHEAALLAGLPQSPNNYNPFN_x000a_HPDKAEKRRNIVLTLMNKHGYITKEQMEAAKKIPVTSSLVAEENRKINGDIPYDSFIGQA_x000a_IKEIDKKYPTINVFTDGLKIYTTLDKDAQEYVETMLNGNEIVEFPNEEFQAGITLLDTKT_x000a_GEIRALGGNRNSDVEFGFNYATSHTRQPGSTIKPILDYGPAIEYERWGTYHTLDDKPYAY_x000a_SNGTEFNNWDGRHMGPMSMREALARSRNVPAVMALQEVGLEKAKDFAVNLGIPLEDIQES_x000a_YAIGGLKNGVTSMQMAGAYSAFGNNGIYNAPHTVKSVELRDGTKLDLTPESKAVMKDYTA_x000a_FMITDMLKSVVKDSYGTGQQANVQGLPIAGKTGTTNYSSDEISKYNVPDGAVPDAWFAGY_x000a_TTNYTAAVWTGYKDRKNYLPSNGRDQKIAQNLFKNLMAHVSEGKETPDFKMPKSVEVVKI_x000a_EKGTSKLASAYTPSDQILTEYAVKGEAPTQVSKKYDKLDAPQGLSAVFDPEANEVVVGWE_x000a_YGSEEGVQFEVNASVDGSGQQPTVTAEKGLRFTAPSPGSTYTFSVTAFRDDMRSDPASVS_x000a_VTIPGAPEDDGQEEPEDGEDGSQDDDANQNDEENEEDNQNPGNGNGNGNGNGNGNGNGNG_x000a_NGNGNGNGGNEEDDGEGDDSGSEGESGSGGESGQTGQNGGQSGSGSGTGSGSGGSGTGSG_x000a_GSGSGSGSGSGSGSGSDGSN"/>
    <m/>
    <n v="69"/>
    <n v="2.0000000000000001E-122"/>
    <n v="38.4"/>
    <x v="0"/>
  </r>
  <r>
    <s v="glyD"/>
    <s v="Glycosyltransferase GlyD"/>
    <s v="UFK67918.1"/>
    <x v="8"/>
    <s v="Lacticaseibacillus rhamnosus SD11"/>
    <s v="[36]"/>
    <b v="1"/>
    <m/>
    <m/>
    <s v="No significant similarity found."/>
    <s v="No significant similarity found."/>
    <s v="No significant similarity found."/>
    <x v="0"/>
  </r>
  <r>
    <s v="treA"/>
    <s v="Trehalose-6-phosphate hydrolase"/>
    <s v="VDH10140.1"/>
    <x v="15"/>
    <s v="Lactobacillus plantarum (strain ATCC BAA-793 / NCIMB 8826 / WCFS1)"/>
    <s v="[63]"/>
    <b v="1"/>
    <m/>
    <m/>
    <n v="99"/>
    <n v="2.0000000000000001E-135"/>
    <n v="42.1"/>
    <x v="1"/>
  </r>
  <r>
    <s v="pepO"/>
    <s v="Endopeptidase PepO"/>
    <s v="VDH10529.1"/>
    <x v="6"/>
    <s v="Lactobacillus plantarum (strain ATCC BAA-793 / NCIMB 8826 / WCFS1)"/>
    <s v="[67]"/>
    <b v="1"/>
    <m/>
    <m/>
    <n v="99"/>
    <n v="2.0000000000000001E-173"/>
    <n v="45.96"/>
    <x v="1"/>
  </r>
  <r>
    <s v="gadC"/>
    <s v="Glutamate/γ-aminobutyrate antiporter"/>
    <s v="VEG24324.1"/>
    <x v="9"/>
    <s v="B. dentium Bd1"/>
    <s v="[69]"/>
    <b v="1"/>
    <m/>
    <m/>
    <n v="86"/>
    <n v="3.9999999999999998E-11"/>
    <n v="22.54"/>
    <x v="0"/>
  </r>
  <r>
    <s v="ywpE"/>
    <s v="Putative sortase YwpE"/>
    <s v="VTU62294.1"/>
    <x v="8"/>
    <s v="Lacticaseibacillus rhamnosus SD4/SD11"/>
    <s v="[36]"/>
    <b v="1"/>
    <m/>
    <m/>
    <n v="85"/>
    <n v="9.9999999999999994E-37"/>
    <n v="34.67"/>
    <x v="0"/>
  </r>
  <r>
    <m/>
    <s v="Cell surface protein SpaB"/>
    <s v="VTU62600.1"/>
    <x v="4"/>
    <s v="Lacticaseibacillus rhamnosus SD4/SD11"/>
    <s v="[36]"/>
    <b v="1"/>
    <m/>
    <m/>
    <s v="No significant similarity found."/>
    <s v="No significant similarity found."/>
    <s v="No significant similarity found."/>
    <x v="0"/>
  </r>
  <r>
    <s v="clgR"/>
    <s v="Transcriptional activator of Hsps"/>
    <s v="VTX87039.1"/>
    <x v="0"/>
    <s v="Bifidobacterium longum NCC2705/B. breve UCC2003"/>
    <s v="[69]"/>
    <b v="1"/>
    <m/>
    <m/>
    <s v="No significant similarity found."/>
    <s v="No significant similarity found."/>
    <s v="No significant similarity found."/>
    <x v="0"/>
  </r>
  <r>
    <s v="gpr"/>
    <s v="L-glyceraldehyde 3-phosphate reductase"/>
    <s v="VTZ89322.1"/>
    <x v="8"/>
    <s v="Lacticaseibacillus rhamnosus SD4/SD11"/>
    <s v="[36]"/>
    <b v="1"/>
    <m/>
    <m/>
    <n v="93"/>
    <n v="1E-10"/>
    <n v="22.98"/>
    <x v="0"/>
  </r>
  <r>
    <s v="wbbI"/>
    <s v="Beta-1,6-galactofuranosyltransferase WbbI"/>
    <s v="VTZ93397.1"/>
    <x v="8"/>
    <s v="Lacticaseibacillus rhamnosus SD11"/>
    <s v="[36]"/>
    <b v="1"/>
    <m/>
    <m/>
    <s v="No significant similarity found."/>
    <s v="No significant similarity found."/>
    <s v="No significant similarity found."/>
    <x v="0"/>
  </r>
  <r>
    <s v="inu"/>
    <s v="Inulosucrase"/>
    <s v="VTZ93657.1"/>
    <x v="8"/>
    <s v="L. reuteri TMW1.106"/>
    <s v="[63]"/>
    <b v="1"/>
    <m/>
    <m/>
    <s v="No significant similarity found."/>
    <s v="No significant similarity found."/>
    <s v="No significant similarity found."/>
    <x v="0"/>
  </r>
  <r>
    <s v="npr"/>
    <s v="NADH peroxidase"/>
    <s v="VTZ94172.1"/>
    <x v="14"/>
    <s v="Lacticaseibacillus rhamnosus SD4/SD11"/>
    <s v="[36]"/>
    <b v="1"/>
    <m/>
    <m/>
    <n v="1"/>
    <n v="2.0000000000000001E-158"/>
    <n v="51.75"/>
    <x v="0"/>
  </r>
  <r>
    <s v="brpA"/>
    <s v="Biofilm regulatory protein A"/>
    <s v="VTZ94870.1"/>
    <x v="6"/>
    <s v="Lacticaseibacillus rhamnosus SD4/SD11"/>
    <s v="[36]"/>
    <b v="1"/>
    <m/>
    <m/>
    <n v="87"/>
    <n v="1.9999999999999998E-96"/>
    <n v="50.32"/>
    <x v="1"/>
  </r>
  <r>
    <s v="ribU"/>
    <s v="Riboflavin transporter RibU"/>
    <s v="VTZ95532.1"/>
    <x v="1"/>
    <s v="Lacticaseibacillus rhamnosus SD4/SD11"/>
    <s v="[36]"/>
    <b v="1"/>
    <m/>
    <m/>
    <n v="96"/>
    <n v="9.9999999999999994E-12"/>
    <n v="25.68"/>
    <x v="0"/>
  </r>
  <r>
    <s v="msrC"/>
    <s v="Free methionine-R-sulfoxide reductase"/>
    <s v="VTZ95715.1"/>
    <x v="13"/>
    <s v="Lacticaseibacillus rhamnosus SD4/SD11"/>
    <s v="[36]"/>
    <b v="1"/>
    <m/>
    <m/>
    <n v="88"/>
    <n v="2E-35"/>
    <n v="46.81"/>
    <x v="1"/>
  </r>
  <r>
    <s v="ppaC"/>
    <s v="Putative manganese-dependent inorganic pyrophosphatase"/>
    <s v="VTZ96850.1"/>
    <x v="6"/>
    <s v="Lacticaseibacillus rhamnosus SD4/SD11"/>
    <s v="[36]"/>
    <b v="1"/>
    <m/>
    <m/>
    <n v="99"/>
    <n v="1.9999999999999999E-106"/>
    <n v="54.19"/>
    <x v="1"/>
  </r>
  <r>
    <s v="pglC"/>
    <s v="Undecaprenyl phosphate N,N′-diacetylbacillosamine 1-phosphate transferase"/>
    <s v="VTZ97717.1"/>
    <x v="8"/>
    <s v="Lacticaseibacillus rhamnosus SD4"/>
    <s v="[36]"/>
    <b v="1"/>
    <m/>
    <m/>
    <s v="No significant similarity found."/>
    <s v="No significant similarity found."/>
    <s v="No significant similarity found."/>
    <x v="0"/>
  </r>
  <r>
    <s v="copA"/>
    <s v="Copper transporting ATPase"/>
    <s v="WAU28942.1"/>
    <x v="0"/>
    <s v="Lactobacillus plantarum (strain ATCC BAA-793 / NCIMB 8826 / WCFS1)"/>
    <s v="[63]"/>
    <b v="1"/>
    <m/>
    <m/>
    <n v="99"/>
    <n v="0"/>
    <n v="61.07"/>
    <x v="1"/>
  </r>
  <r>
    <s v="ctpE"/>
    <s v="Cation-transporting P-type ATPase E"/>
    <s v="WAU30504.1"/>
    <x v="0"/>
    <s v="Lactiplantibacillus plantarum JS21"/>
    <s v="[64]"/>
    <b v="1"/>
    <m/>
    <m/>
    <n v="98"/>
    <n v="3.9999999999999998E-157"/>
    <n v="39.229999999999997"/>
    <x v="0"/>
  </r>
  <r>
    <s v="strA"/>
    <s v="Sortase A"/>
    <s v="WAU31067.1"/>
    <x v="0"/>
    <s v="Lactobacillus plantarum DF/KP"/>
    <s v="[58]"/>
    <b v="1"/>
    <m/>
    <m/>
    <n v="77"/>
    <n v="2.9999999999999999E-35"/>
    <n v="36.409999999999997"/>
    <x v="0"/>
  </r>
  <r>
    <s v="wecA"/>
    <s v="UDP-GlcNAc:undecaprenyl-phosphate/decaprenyl-phosphate GlcNAc-1-phosphate transferase"/>
    <s v="WCL68014.1"/>
    <x v="5"/>
    <s v="Lactiplantibacillus plantarum JS21"/>
    <s v="[64]"/>
    <b v="1"/>
    <m/>
    <m/>
    <n v="97"/>
    <n v="1.0000000000000001E-130"/>
    <n v="58.03"/>
    <x v="1"/>
  </r>
  <r>
    <s v="mub"/>
    <s v="Mucus-binding protein"/>
    <s v="WOH41266.1"/>
    <x v="8"/>
    <s v="L. acidophilus NCFM"/>
    <s v="[63]"/>
    <b v="1"/>
    <m/>
    <m/>
    <s v="No significant similarity found."/>
    <s v="No significant similarity found."/>
    <s v="No significant similarity found."/>
    <x v="0"/>
  </r>
  <r>
    <s v="cspD"/>
    <m/>
    <s v="WP_003153604.1"/>
    <x v="14"/>
    <s v="Bacillus velezensis 6-2"/>
    <s v="[62]"/>
    <b v="1"/>
    <m/>
    <m/>
    <s v="No significant similarity found."/>
    <s v="No significant similarity found."/>
    <s v="No significant similarity found."/>
    <x v="0"/>
  </r>
  <r>
    <s v="cspB"/>
    <s v="Cold shock protein"/>
    <s v="WP_003155376.1"/>
    <x v="14"/>
    <s v="Bacillus velezensis 6-2"/>
    <s v="[62]"/>
    <b v="1"/>
    <m/>
    <m/>
    <s v="No significant similarity found."/>
    <s v="No significant similarity found."/>
    <s v="No significant similarity found."/>
    <x v="0"/>
  </r>
  <r>
    <s v="katA"/>
    <s v="Catalase"/>
    <s v="WP_003155420.1"/>
    <x v="0"/>
    <s v="Bacillus velezensis 6-2"/>
    <s v="[62]"/>
    <b v="1"/>
    <m/>
    <m/>
    <s v="No significant similarity found."/>
    <s v="No significant similarity found."/>
    <s v="No significant similarity found."/>
    <x v="0"/>
  </r>
  <r>
    <s v="groES"/>
    <s v="10 kDa chaperonin groES protein"/>
    <s v="WP_003155970.1"/>
    <x v="0"/>
    <s v="Bacillus velezensis 6-2"/>
    <s v="[62]"/>
    <b v="1"/>
    <m/>
    <m/>
    <n v="99"/>
    <n v="7.9999999999999995E-29"/>
    <n v="50.54"/>
    <x v="1"/>
  </r>
  <r>
    <s v="cspC"/>
    <m/>
    <s v="WP_003156143.1"/>
    <x v="14"/>
    <s v="Bacillus velezensis 6-2"/>
    <s v="[62]"/>
    <b v="1"/>
    <m/>
    <m/>
    <n v="94"/>
    <n v="2.9999999999999998E-13"/>
    <n v="45.31"/>
    <x v="1"/>
  </r>
  <r>
    <s v="glnA"/>
    <s v="Glutamine synthetase"/>
    <s v="WP_003640333.1"/>
    <x v="6"/>
    <s v="Lactobacillus plantarum (strain ATCC BAA-793 / NCIMB 8826 / WCFS1)"/>
    <s v="[66]"/>
    <b v="1"/>
    <m/>
    <m/>
    <n v="99"/>
    <n v="9.9999999999999995E-179"/>
    <n v="58.07"/>
    <x v="1"/>
  </r>
  <r>
    <s v="lspA"/>
    <s v="Lipoprotein signal peptidase"/>
    <s v="WP_003640508.1"/>
    <x v="8"/>
    <s v="Lactobacillus plantarum (strain ATCC BAA-793 / NCIMB 8826 / WCFS1)"/>
    <s v="[63]"/>
    <b v="1"/>
    <m/>
    <m/>
    <n v="98"/>
    <n v="7.0000000000000003E-38"/>
    <n v="47.62"/>
    <x v="1"/>
  </r>
  <r>
    <s v="pyk"/>
    <s v="Pyruvate kinase"/>
    <s v="WP_003640603.1"/>
    <x v="9"/>
    <s v="Lactobacillus plantarum (strain ATCC BAA-793 / NCIMB 8826 / WCFS1)"/>
    <s v="[67]"/>
    <b v="1"/>
    <m/>
    <m/>
    <n v="99"/>
    <n v="0"/>
    <n v="67.81"/>
    <x v="1"/>
  </r>
  <r>
    <s v="dltD"/>
    <s v="Protein DltD"/>
    <s v="WP_003640704.1"/>
    <x v="0"/>
    <s v="Lactobacillus plantarum (strain ATCC BAA-793 / NCIMB 8826 / WCFS1)"/>
    <s v="[63]"/>
    <b v="1"/>
    <m/>
    <m/>
    <n v="97"/>
    <n v="1E-117"/>
    <n v="45.78"/>
    <x v="1"/>
  </r>
  <r>
    <s v="dltA"/>
    <s v="D-alanine--D-alanyl carrier protein ligase"/>
    <s v="WP_003640707.1"/>
    <x v="0"/>
    <s v="Lactobacillus plantarum (strain ATCC BAA-793 / NCIMB 8826 / WCFS1)"/>
    <s v="[63]"/>
    <b v="1"/>
    <m/>
    <m/>
    <n v="99"/>
    <n v="2.0000000000000001E-166"/>
    <n v="52.73"/>
    <x v="1"/>
  </r>
  <r>
    <s v="dnaJ"/>
    <s v="Chaperone protein DnaJ"/>
    <s v="WP_003640710.1"/>
    <x v="0"/>
    <s v="Lactobacillus plantarum (strain ATCC BAA-793 / NCIMB 8826 / WCFS1)"/>
    <s v="[63]"/>
    <b v="1"/>
    <m/>
    <m/>
    <n v="99"/>
    <n v="1E-119"/>
    <n v="49.21"/>
    <x v="1"/>
  </r>
  <r>
    <s v="trxB"/>
    <s v="Thioredoxin reductase"/>
    <s v="WP_003641020.1"/>
    <x v="13"/>
    <s v="Lactobacillus plantarum WCFS1"/>
    <s v="[70]"/>
    <b v="1"/>
    <m/>
    <m/>
    <n v="98"/>
    <n v="3.0000000000000001E-112"/>
    <n v="57.19"/>
    <x v="1"/>
  </r>
  <r>
    <s v="relA"/>
    <s v="GTP pyrophosphokinase"/>
    <s v="WP_003641867.1"/>
    <x v="9"/>
    <s v="Lactobacillus plantarum (strain ATCC BAA-793 / NCIMB 8826 / WCFS1)"/>
    <s v="[63, 67]"/>
    <b v="1"/>
    <m/>
    <m/>
    <n v="85"/>
    <n v="4.9999999999999996E-35"/>
    <n v="37.75"/>
    <x v="0"/>
  </r>
  <r>
    <s v="folP"/>
    <s v="Dihydropteroate synthase"/>
    <s v="WP_003642512.1"/>
    <x v="1"/>
    <s v="Lactiplantibacillus plantarum WCFS1"/>
    <s v="[65]"/>
    <b v="1"/>
    <m/>
    <m/>
    <s v="No significant similarity found."/>
    <s v="No significant similarity found."/>
    <s v="No significant similarity found."/>
    <x v="0"/>
  </r>
  <r>
    <s v="folE"/>
    <m/>
    <s v="WP_003642515.1"/>
    <x v="1"/>
    <s v="Lactiplantibacillus plantarum WCFS1"/>
    <s v="[65]"/>
    <b v="1"/>
    <m/>
    <m/>
    <s v="No significant similarity found."/>
    <s v="No significant similarity found."/>
    <s v="No significant similarity found."/>
    <x v="0"/>
  </r>
  <r>
    <s v="folK"/>
    <m/>
    <s v="WP_003642516.1"/>
    <x v="1"/>
    <s v="Lactiplantibacillus plantarum WCFS1"/>
    <s v="[65]"/>
    <b v="1"/>
    <m/>
    <m/>
    <s v="No significant similarity found."/>
    <s v="No significant similarity found."/>
    <s v="No significant similarity found."/>
    <x v="0"/>
  </r>
  <r>
    <s v="pgi"/>
    <s v="Glucose-6-phosphate isomerase"/>
    <s v="WP_003642759.1"/>
    <x v="9"/>
    <s v="Lactobacillus plantarum (strain ATCC BAA-793 / NCIMB 8826 / WCFS1)"/>
    <s v="[67]"/>
    <b v="1"/>
    <m/>
    <m/>
    <n v="1"/>
    <n v="0"/>
    <n v="70.67"/>
    <x v="0"/>
  </r>
  <r>
    <s v="folB"/>
    <s v="Dihydroneopterin aldolase"/>
    <s v="WP_003643485.1"/>
    <x v="1"/>
    <s v="Lactiplantibacillus plantarum WCFS1"/>
    <s v="[65]"/>
    <b v="1"/>
    <m/>
    <m/>
    <s v="No significant similarity found."/>
    <s v="No significant similarity found."/>
    <s v="No significant similarity found."/>
    <x v="0"/>
  </r>
  <r>
    <s v="uvrA"/>
    <s v="UvrABC system protein A"/>
    <s v="WP_003643969.1"/>
    <x v="9"/>
    <s v="Lactobacillus plantarum (strain ATCC BAA-793 / NCIMB 8826 / WCFS1)"/>
    <s v="[63]"/>
    <b v="1"/>
    <m/>
    <m/>
    <n v="99"/>
    <n v="0"/>
    <n v="70.88"/>
    <x v="1"/>
  </r>
  <r>
    <s v="gap"/>
    <s v="Glyceraldehyde-3-phosphate dehydrogenase"/>
    <s v="WP_003643974.1"/>
    <x v="9"/>
    <s v="Lactobacillus plantarum subsp. plantarum ATCC 14917 = JCM 1149 =  CGMCC 1.2437"/>
    <s v="[67]"/>
    <b v="1"/>
    <m/>
    <m/>
    <n v="1"/>
    <n v="2E-179"/>
    <n v="78.239999999999995"/>
    <x v="0"/>
  </r>
  <r>
    <s v="tpiA"/>
    <s v="Triosephosphate isomerase"/>
    <s v="WP_003643975.1"/>
    <x v="9"/>
    <s v="Lactobacillus plantarum (strain ATCC BAA-793 / NCIMB 8826 / WCFS1)"/>
    <s v="[66]"/>
    <b v="1"/>
    <m/>
    <m/>
    <n v="1"/>
    <n v="4.9999999999999999E-119"/>
    <n v="68.13"/>
    <x v="0"/>
  </r>
  <r>
    <s v="exoA"/>
    <s v="Exodeoxyribonuclease III"/>
    <s v="WP_003643984.1"/>
    <x v="8"/>
    <s v="Lactobacillus plantarum (strain ATCC BAA-793 / NCIMB 8826 / WCFS1)"/>
    <s v="[67]"/>
    <b v="1"/>
    <m/>
    <m/>
    <n v="99"/>
    <n v="2.0000000000000001E-63"/>
    <n v="42.91"/>
    <x v="1"/>
  </r>
  <r>
    <s v="msrB"/>
    <s v="Peptide methionine sulfoxide reductase MsrB"/>
    <s v="WP_003644417.1"/>
    <x v="13"/>
    <s v="Lactobacillus plantarum (strain ATCC BAA-793 / NCIMB 8826 / WCFS1)"/>
    <s v="[63]"/>
    <b v="1"/>
    <m/>
    <m/>
    <n v="99"/>
    <n v="1E-58"/>
    <n v="67.13"/>
    <x v="1"/>
  </r>
  <r>
    <s v="xylA"/>
    <s v="Xylose isomerase"/>
    <s v="WP_003666507.1"/>
    <x v="15"/>
    <s v="L. reuteri 100-23"/>
    <s v="[63]"/>
    <b v="1"/>
    <m/>
    <m/>
    <s v="No significant similarity found."/>
    <s v="No significant similarity found."/>
    <s v="No significant similarity found."/>
    <x v="0"/>
  </r>
  <r>
    <s v="pyrK"/>
    <s v="Dihydroorotate dehydrogenase electron transfer unit"/>
    <s v="WP_003813104.1"/>
    <x v="0"/>
    <s v="B. bididum ATCC 29521"/>
    <s v="[69]"/>
    <b v="1"/>
    <m/>
    <m/>
    <s v="No significant similarity found."/>
    <s v="No significant similarity found."/>
    <s v="No significant similarity found."/>
    <x v="0"/>
  </r>
  <r>
    <s v="lexA"/>
    <s v="Transcriptional repressor LexA"/>
    <s v="WP_003830434.1"/>
    <x v="11"/>
    <s v="Bifidobacterium breve UCC2003"/>
    <s v="[69]"/>
    <b v="1"/>
    <m/>
    <m/>
    <s v="No significant similarity found."/>
    <s v="No significant similarity found."/>
    <s v="No significant similarity found."/>
    <x v="0"/>
  </r>
  <r>
    <s v="wblE"/>
    <s v="WhiB family transcriptional regulator"/>
    <s v="WP_003835265.1"/>
    <x v="0"/>
    <s v="B. longum NCC2705"/>
    <s v="[69]"/>
    <b v="1"/>
    <m/>
    <m/>
    <s v="No significant similarity found."/>
    <s v="No significant similarity found."/>
    <s v="No significant similarity found."/>
    <x v="0"/>
  </r>
  <r>
    <s v="ruvA"/>
    <s v="Holliday junction ATP-dependent DNA helicase RuvA"/>
    <s v="WP_005685501.1"/>
    <x v="11"/>
    <s v="Lacticaseibacillus rhamnosus SD4/SD11"/>
    <s v="[36]"/>
    <b v="1"/>
    <m/>
    <m/>
    <n v="94"/>
    <n v="3.9999999999999999E-47"/>
    <n v="44.56"/>
    <x v="1"/>
  </r>
  <r>
    <s v="trxA"/>
    <s v="Thioredoxin"/>
    <s v="WP_005685527.1"/>
    <x v="13"/>
    <s v="Lacticaseibacillus rhamnosus SD4/SD11"/>
    <s v="[36]"/>
    <b v="1"/>
    <m/>
    <m/>
    <n v="99"/>
    <n v="4.0000000000000001E-46"/>
    <n v="68.63"/>
    <x v="1"/>
  </r>
  <r>
    <s v="tuf"/>
    <s v="Elongation factor Tu"/>
    <s v="WP_005685646.1"/>
    <x v="8"/>
    <s v="Lacticaseibacillus rhamnosus SD4/SD11"/>
    <s v="[36]"/>
    <b v="1"/>
    <m/>
    <m/>
    <n v="1"/>
    <n v="0"/>
    <n v="85.86"/>
    <x v="0"/>
  </r>
  <r>
    <s v="hslV"/>
    <s v="ATP-dependent protease subunit HslV"/>
    <s v="WP_005688016.1"/>
    <x v="11"/>
    <s v="Lacticaseibacillus rhamnosus SD4/SD11"/>
    <s v="[36]"/>
    <b v="1"/>
    <m/>
    <m/>
    <n v="1"/>
    <n v="3.9999999999999997E-77"/>
    <n v="68.39"/>
    <x v="0"/>
  </r>
  <r>
    <s v="hslO"/>
    <s v="Molecular chaperone Hsp33"/>
    <s v="WP_005711025.1"/>
    <x v="11"/>
    <s v="Lacticaseibacillus rhamnosus SD4/SD11"/>
    <s v="[36]"/>
    <b v="1"/>
    <m/>
    <m/>
    <n v="1"/>
    <n v="3.0000000000000001E-94"/>
    <n v="51.7"/>
    <x v="0"/>
  </r>
  <r>
    <s v="whiB"/>
    <s v="WhiB family transcriptional regulator"/>
    <s v="WP_007051901.1"/>
    <x v="0"/>
    <s v="B. longum NCC2705"/>
    <s v="[69]"/>
    <b v="1"/>
    <m/>
    <m/>
    <s v="No significant similarity found."/>
    <s v="No significant similarity found."/>
    <s v="No significant similarity found."/>
    <x v="0"/>
  </r>
  <r>
    <s v="pepP"/>
    <s v="Aminopeptidase P family protein"/>
    <s v="WP_007052570.1"/>
    <x v="6"/>
    <s v="B. longum BBMN68"/>
    <s v="[69]"/>
    <b v="1"/>
    <m/>
    <m/>
    <n v="50"/>
    <n v="6.0000000000000001E-17"/>
    <n v="27.78"/>
    <x v="0"/>
  </r>
  <r>
    <s v="trxR"/>
    <s v="FAD-dependent oxidoreductase"/>
    <s v="WP_007056574.1"/>
    <x v="13"/>
    <s v="B. longum NCC2705"/>
    <s v="[69]"/>
    <b v="1"/>
    <m/>
    <m/>
    <n v="50"/>
    <n v="3.9999999999999999E-64"/>
    <n v="37.659999999999997"/>
    <x v="0"/>
  </r>
  <r>
    <s v="ahpC"/>
    <s v="Peroxiredoxin"/>
    <s v="WP_007056578.1"/>
    <x v="13"/>
    <s v="B. longum NCC2705"/>
    <s v="[69]"/>
    <b v="1"/>
    <m/>
    <m/>
    <s v="No significant similarity found."/>
    <s v="No significant similarity found."/>
    <s v="No significant similarity found."/>
    <x v="0"/>
  </r>
  <r>
    <s v="flgD"/>
    <s v="FlgD Ig-like domain"/>
    <s v="WP_007409782.1"/>
    <x v="8"/>
    <s v="Bacillus amyloliquefaciens 78-1"/>
    <s v="[62]"/>
    <b v="1"/>
    <m/>
    <m/>
    <s v="No significant similarity found."/>
    <s v="No significant similarity found."/>
    <s v="No significant similarity found."/>
    <x v="0"/>
  </r>
  <r>
    <s v="hemN"/>
    <s v="Radical SAM family heme chaperone HemW"/>
    <s v="WP_008783712.1"/>
    <x v="13"/>
    <s v="B. longum NCC2705"/>
    <s v="[69]"/>
    <b v="1"/>
    <m/>
    <m/>
    <s v="No significant similarity found."/>
    <s v="No significant similarity found."/>
    <s v="No significant similarity found."/>
    <x v="0"/>
  </r>
  <r>
    <s v="nox"/>
    <s v="NADH oxidase"/>
    <s v="WP_011068710.1"/>
    <x v="0"/>
    <s v="B. longum NCC2705"/>
    <s v="[69]"/>
    <b v="1"/>
    <m/>
    <m/>
    <n v="96"/>
    <n v="4.9999999999999999E-46"/>
    <n v="26.26"/>
    <x v="0"/>
  </r>
  <r>
    <s v="argS"/>
    <s v="Arginine--tRNA ligase"/>
    <s v="WP_011101383.1"/>
    <x v="6"/>
    <s v="Lactobacillus plantarum (strain ATCC BAA-793 / NCIMB 8826 / WCFS1)"/>
    <s v="[67]"/>
    <b v="1"/>
    <m/>
    <m/>
    <n v="1"/>
    <n v="0"/>
    <n v="57.37"/>
    <x v="0"/>
  </r>
  <r>
    <s v="clpB"/>
    <s v="Chaperone protein ClpB"/>
    <s v="WP_011101584.1"/>
    <x v="0"/>
    <s v="Lactobacillus plantarum (strain ATCC BAA-793 / NCIMB 8826 / WCFS1)"/>
    <s v="[67]"/>
    <b v="1"/>
    <m/>
    <m/>
    <n v="72"/>
    <n v="7.9999999999999999E-95"/>
    <n v="50.6"/>
    <x v="1"/>
  </r>
  <r>
    <s v="dnaK"/>
    <s v="Chaperone protein DnaK / HSP70"/>
    <s v="WP_011101636.1"/>
    <x v="0"/>
    <s v="Lactobacillus plantarum (strain ATCC BAA-793 / NCIMB 8826 / WCFS1)"/>
    <s v="[63, 67]"/>
    <b v="1"/>
    <m/>
    <m/>
    <n v="92"/>
    <n v="0"/>
    <n v="71.55"/>
    <x v="1"/>
  </r>
  <r>
    <s v="grpE"/>
    <s v="Protein GrpE / HSP-70 cofactor"/>
    <s v="WP_011101637.1"/>
    <x v="0"/>
    <s v="Lactobacillus plantarum (strain ATCC BAA-793 / NCIMB 8826 / WCFS1)"/>
    <s v="[63]"/>
    <b v="1"/>
    <m/>
    <m/>
    <n v="75"/>
    <n v="1E-51"/>
    <n v="56.67"/>
    <x v="1"/>
  </r>
  <r>
    <s v="pycA"/>
    <s v="Pyruvate carboxylase"/>
    <s v="WP_011101664.1"/>
    <x v="8"/>
    <s v="Lactobacillus plantarum (strain ATCC BAA-793 / NCIMB 8826 / WCFS1)"/>
    <s v="[67]"/>
    <b v="1"/>
    <m/>
    <m/>
    <s v="No significant similarity found."/>
    <s v="No significant similarity found."/>
    <s v="No significant similarity found."/>
    <x v="0"/>
  </r>
  <r>
    <s v="slpA"/>
    <s v="S-layer protein"/>
    <s v="WP_011254065.1"/>
    <x v="8"/>
    <s v="L. acidophilus NCFM"/>
    <s v="[63]"/>
    <b v="1"/>
    <m/>
    <m/>
    <n v="75"/>
    <n v="5.0000000000000002E-55"/>
    <n v="63.07"/>
    <x v="1"/>
  </r>
  <r>
    <s v="secA"/>
    <s v="Preprotein translocase subunit SecA"/>
    <s v="WP_011679122.1"/>
    <x v="11"/>
    <s v="Leuconostoc mesenteroides strain F-21"/>
    <s v="[57]"/>
    <b v="1"/>
    <m/>
    <m/>
    <n v="1"/>
    <n v="0"/>
    <n v="59.83"/>
    <x v="0"/>
  </r>
  <r>
    <s v="pdhd/lpdA"/>
    <s v="Dihydrolipoyl dehydrogenase"/>
    <s v="WP_011679529.1"/>
    <x v="6"/>
    <s v="Leuconostoc mesenteroides strain F-22"/>
    <s v="[57]"/>
    <b v="1"/>
    <m/>
    <m/>
    <n v="1"/>
    <n v="9.9999999999999995E-145"/>
    <n v="49.05"/>
    <x v="0"/>
  </r>
  <r>
    <s v="gpmA"/>
    <s v="2,3-Bisphosphoglycerate-dependent phosphoglycerate mutase"/>
    <s v="WP_011680438.1"/>
    <x v="0"/>
    <s v="Leuconostoc mesenteroides strain F-21"/>
    <s v="[57]"/>
    <b v="1"/>
    <m/>
    <m/>
    <n v="99"/>
    <n v="6.9999999999999997E-99"/>
    <n v="63.83"/>
    <x v="1"/>
  </r>
  <r>
    <s v="npox"/>
    <s v="Nitroreductase family protein"/>
    <s v="WP_012578666.1"/>
    <x v="13"/>
    <s v="B. longum ssp. infantis ATCC 15697"/>
    <s v="[69]"/>
    <b v="1"/>
    <m/>
    <m/>
    <n v="1"/>
    <n v="3.9999999999999997E-49"/>
    <n v="36.72"/>
    <x v="0"/>
  </r>
  <r>
    <s v="glf"/>
    <s v="UDP-galactopyranose mutase"/>
    <s v="WP_012897570.1"/>
    <x v="6"/>
    <s v="Lactococcus lactis subsp. lactis NCDO 2118"/>
    <s v="[67]"/>
    <b v="1"/>
    <m/>
    <m/>
    <n v="97"/>
    <n v="9.9999999999999997E-155"/>
    <n v="62.77"/>
    <x v="1"/>
  </r>
  <r>
    <s v="gla"/>
    <s v="Glycerol facilitator–aquaporin gla"/>
    <s v="WP_012898588.1"/>
    <x v="12"/>
    <s v="Lactococcus lactis WFLU12"/>
    <s v="[66]"/>
    <b v="1"/>
    <m/>
    <m/>
    <n v="95"/>
    <n v="3.9999999999999998E-23"/>
    <n v="29.18"/>
    <x v="0"/>
  </r>
  <r>
    <s v="odcl"/>
    <s v="Ornithine decarboxylase"/>
    <s v="WP_013439207.1"/>
    <x v="9"/>
    <s v="Lactobacillus delbrueckii susp. lactis CIDCA 133"/>
    <s v="[59]"/>
    <b v="1"/>
    <m/>
    <m/>
    <s v="No significant similarity found."/>
    <s v="No significant similarity found."/>
    <s v="No significant similarity found."/>
    <x v="0"/>
  </r>
  <r>
    <s v="clpX"/>
    <s v="ATP-dependent ClpX protease"/>
    <s v="WP_013439358.1"/>
    <x v="0"/>
    <s v="Lactobacillus delbrueckii susp. lactis CIDCA 133"/>
    <s v="[59]"/>
    <b v="1"/>
    <m/>
    <m/>
    <n v="99"/>
    <n v="0"/>
    <n v="79.66"/>
    <x v="1"/>
  </r>
  <r>
    <s v="clpP"/>
    <s v="Clp protease ClpP"/>
    <s v="WP_013439737.1"/>
    <x v="0"/>
    <s v="Lactobacillus delbrueckii susp. lactis CIDCA 133"/>
    <s v="[59]"/>
    <b v="1"/>
    <m/>
    <m/>
    <n v="63"/>
    <n v="9.9999999999999998E-20"/>
    <n v="33.119999999999997"/>
    <x v="0"/>
  </r>
  <r>
    <s v="nhaC"/>
    <s v="Na+/H+ antiporter NhaC"/>
    <s v="WP_013440093.1"/>
    <x v="0"/>
    <s v="Lactobacillus delbrueckii susp. lactis CIDCA 133"/>
    <s v="[59]"/>
    <b v="1"/>
    <m/>
    <m/>
    <n v="99"/>
    <n v="9.9999999999999995E-179"/>
    <n v="63.88"/>
    <x v="1"/>
  </r>
  <r>
    <s v="glpF"/>
    <s v="Aquaporin family protein"/>
    <s v="WP_013440193.1"/>
    <x v="12"/>
    <s v="Lactobacillus delbrueckii susp. lactis CIDCA 133"/>
    <s v="[59]"/>
    <b v="1"/>
    <m/>
    <m/>
    <n v="94"/>
    <n v="4.0000000000000002E-101"/>
    <n v="68.78"/>
    <x v="1"/>
  </r>
  <r>
    <s v="pepF"/>
    <s v="Oligoendopeptidase F"/>
    <s v="WP_013440239.1"/>
    <x v="6"/>
    <s v="Lactobacillus delbrueckii susp. lactis CIDCA 133"/>
    <s v="[59]"/>
    <b v="1"/>
    <m/>
    <m/>
    <n v="1"/>
    <n v="0"/>
    <n v="62.83"/>
    <x v="0"/>
  </r>
  <r>
    <s v="nagB"/>
    <s v="Glucosamine-6-phosphate deaminase"/>
    <s v="WP_013440358.1"/>
    <x v="6"/>
    <s v="Lactobacillus delbrueckii susp. lactis CIDCA 133"/>
    <s v="[59]"/>
    <b v="1"/>
    <m/>
    <m/>
    <n v="1"/>
    <n v="6.0000000000000003E-96"/>
    <n v="61.8"/>
    <x v="0"/>
  </r>
  <r>
    <s v="cydB"/>
    <s v="Cytochrome d ubiquinol oxidade subunit II"/>
    <s v="WP_015021326.1"/>
    <x v="13"/>
    <s v="B. asteroides PRL2011"/>
    <s v="[69]"/>
    <b v="1"/>
    <m/>
    <m/>
    <n v="94"/>
    <n v="1E-83"/>
    <n v="41.69"/>
    <x v="1"/>
  </r>
  <r>
    <s v="cydC"/>
    <s v="Thiol reductant ABC exporter subunit CydC"/>
    <s v="WP_015021328.1"/>
    <x v="13"/>
    <s v="B. asteroides PRL2011"/>
    <s v="[69]"/>
    <b v="1"/>
    <m/>
    <m/>
    <n v="94"/>
    <n v="5.0000000000000001E-126"/>
    <n v="37.69"/>
    <x v="0"/>
  </r>
  <r>
    <s v="hsp20"/>
    <s v="Hsp20/ alpha crystallin family protein"/>
    <s v="WP_015438220.1"/>
    <x v="11"/>
    <s v="B. breve UCC2003"/>
    <s v="[69]"/>
    <b v="1"/>
    <m/>
    <m/>
    <s v="No significant similarity found."/>
    <s v="No significant similarity found."/>
    <s v="No significant similarity found."/>
    <x v="0"/>
  </r>
  <r>
    <s v="rpoE"/>
    <s v="RNA polymerase sigma factor"/>
    <s v="WP_015438834.1"/>
    <x v="11"/>
    <s v="B. breve UCC2003"/>
    <s v="[69]"/>
    <b v="1"/>
    <m/>
    <m/>
    <s v="No significant similarity found."/>
    <s v="No significant similarity found."/>
    <s v="No significant similarity found."/>
    <x v="0"/>
  </r>
  <r>
    <s v="hrdB/rpoD"/>
    <s v="RNA polymerase sigma factor"/>
    <s v="WP_015438903.1"/>
    <x v="0"/>
    <s v="B. breve UCC2003"/>
    <s v="[69]"/>
    <b v="1"/>
    <m/>
    <m/>
    <n v="64"/>
    <n v="2.0000000000000001E-117"/>
    <n v="60"/>
    <x v="0"/>
  </r>
  <r>
    <s v="recX"/>
    <s v="Regulatory protein RecX"/>
    <s v="WP_015438911.1"/>
    <x v="11"/>
    <s v="B. breve UCC2003"/>
    <s v="[69]"/>
    <b v="1"/>
    <m/>
    <m/>
    <s v="No significant similarity found."/>
    <s v="No significant similarity found."/>
    <s v="No significant similarity found."/>
    <x v="0"/>
  </r>
  <r>
    <s v="sph"/>
    <s v="Oleate hydratase"/>
    <s v="WP_015438992.1"/>
    <x v="16"/>
    <s v="B. breve NCFB 2258"/>
    <s v="[69]"/>
    <b v="1"/>
    <m/>
    <m/>
    <n v="95"/>
    <n v="0"/>
    <n v="50.67"/>
    <x v="1"/>
  </r>
  <r>
    <m/>
    <s v="L-aspartate oxidase"/>
    <s v="WP_015512139.1"/>
    <x v="13"/>
    <s v="B. longum NCC2705"/>
    <s v="[69]"/>
    <b v="1"/>
    <m/>
    <m/>
    <n v="44"/>
    <n v="1.0000000000000001E-17"/>
    <n v="28.08"/>
    <x v="0"/>
  </r>
  <r>
    <s v="pyrD"/>
    <s v="Dihydroorotate dehydrogenase"/>
    <s v="WP_021648026.1"/>
    <x v="0"/>
    <s v="B. bididum ATCC 29521"/>
    <s v="[69]"/>
    <b v="1"/>
    <m/>
    <m/>
    <n v="86"/>
    <n v="4.9999999999999996E-40"/>
    <n v="30.47"/>
    <x v="0"/>
  </r>
  <r>
    <s v="tig"/>
    <s v="Trigger factor"/>
    <s v="WP_025268335.1"/>
    <x v="9"/>
    <s v="Leuconostoc mesenteroides strain F-22"/>
    <s v="[57]"/>
    <b v="1"/>
    <m/>
    <m/>
    <n v="1"/>
    <n v="7.0000000000000004E-115"/>
    <n v="46.85"/>
    <x v="0"/>
  </r>
  <r>
    <s v="csbD"/>
    <s v="Stress response protein CsbD"/>
    <s v="WP_026092293.1"/>
    <x v="0"/>
    <s v="Bacillus velezensis 6-2"/>
    <s v="[62]"/>
    <b v="1"/>
    <m/>
    <m/>
    <s v="No significant similarity found."/>
    <s v="No significant similarity found."/>
    <s v="No significant similarity found."/>
    <x v="0"/>
  </r>
  <r>
    <s v="sdhA"/>
    <s v="FAD-dependent oxidoreductase"/>
    <s v="WP_033511903.1"/>
    <x v="13"/>
    <s v="B. asteroides PRL2011"/>
    <s v="[69]"/>
    <b v="1"/>
    <m/>
    <m/>
    <n v="65"/>
    <n v="4.9999999999999999E-17"/>
    <n v="24.52"/>
    <x v="0"/>
  </r>
  <r>
    <s v="sdhB"/>
    <s v="4Fe-4S dicluster domain-contaning protein"/>
    <s v="WP_033511913.1"/>
    <x v="13"/>
    <s v="B. asteroides PRL2011"/>
    <s v="[69]"/>
    <b v="1"/>
    <m/>
    <m/>
    <s v="No significant similarity found."/>
    <s v="No significant similarity found."/>
    <s v="No significant similarity found."/>
    <x v="0"/>
  </r>
  <r>
    <s v="ppk"/>
    <s v="Polyphosphate kinase"/>
    <s v="WP_033519427.1"/>
    <x v="9"/>
    <s v="B. scardovii JCM 12489"/>
    <s v="[69]"/>
    <b v="1"/>
    <m/>
    <m/>
    <s v="No significant similarity found."/>
    <s v="No significant similarity found."/>
    <s v="No significant similarity found."/>
    <x v="0"/>
  </r>
  <r>
    <s v="ribF"/>
    <s v="Bifunctional riboflavin kinase/FMN adenylyltransferase"/>
    <s v="WP_047676482.1"/>
    <x v="1"/>
    <s v="Lacticaseibacillus rhamnosus SD4/SD11"/>
    <s v="[36]"/>
    <b v="1"/>
    <m/>
    <m/>
    <n v="92"/>
    <n v="1E-83"/>
    <n v="46.05"/>
    <x v="1"/>
  </r>
  <r>
    <s v="dltC"/>
    <s v="D-alanine—poly(phosphoribitol) ligase subunit"/>
    <s v="WP_047677124.1"/>
    <x v="0"/>
    <s v="Lacticaseibacillus rhamnosus SD4/SD11"/>
    <s v="[36]"/>
    <b v="1"/>
    <m/>
    <m/>
    <n v="89"/>
    <n v="8.9999999999999995E-23"/>
    <n v="58.33"/>
    <x v="1"/>
  </r>
  <r>
    <s v="guaA"/>
    <s v="GMP synthase [glutamine-hydrolyzing]"/>
    <s v="WP_058211934.1"/>
    <x v="9"/>
    <s v="Lactococcus lactis WFLU12"/>
    <s v="[63, 66]"/>
    <b v="1"/>
    <m/>
    <m/>
    <n v="99"/>
    <n v="0"/>
    <n v="62.67"/>
    <x v="1"/>
  </r>
  <r>
    <s v="cspA"/>
    <s v="Cold-shock protein"/>
    <s v="WP_065463984.1 "/>
    <x v="14"/>
    <s v="Bifidobacterium breve UCC2003"/>
    <s v="[69]"/>
    <b v="1"/>
    <m/>
    <m/>
    <s v="No significant similarity found."/>
    <s v="No significant similarity found."/>
    <s v="No significant similarity found."/>
    <x v="0"/>
  </r>
  <r>
    <s v="cydD"/>
    <s v="ABD-transporter ATP-binding protein/permease"/>
    <s v="WP_099327362.1"/>
    <x v="13"/>
    <s v="B. asteroides PRL2011"/>
    <s v="[69]"/>
    <b v="1"/>
    <m/>
    <m/>
    <n v="86"/>
    <n v="7.0000000000000001E-63"/>
    <n v="46.36"/>
    <x v="1"/>
  </r>
  <r>
    <m/>
    <s v="Superoxide dismutase"/>
    <s v="WP_113852633.1 "/>
    <x v="13"/>
    <s v="B. xylocopae XV2"/>
    <s v="[69]"/>
    <b v="1"/>
    <m/>
    <m/>
    <s v="No significant similarity found."/>
    <s v="No significant similarity found."/>
    <s v="No significant similarity found."/>
    <x v="0"/>
  </r>
  <r>
    <s v="ansA"/>
    <s v="Asparaginase"/>
    <s v="WP_152580025.1"/>
    <x v="9"/>
    <s v="B. tibiigranuli TMW 2.2057"/>
    <s v="[69]"/>
    <b v="1"/>
    <m/>
    <m/>
    <n v="99"/>
    <n v="2E-41"/>
    <n v="32.54"/>
    <x v="0"/>
  </r>
  <r>
    <s v="pox5"/>
    <s v="Pyruvate oxidase"/>
    <s v="WP_152580610.1"/>
    <x v="13"/>
    <s v="B. tibiigranuli TMW 2.2057"/>
    <s v="[69]"/>
    <b v="1"/>
    <m/>
    <m/>
    <n v="95"/>
    <n v="2.0000000000000001E-123"/>
    <n v="39.729999999999997"/>
    <x v="0"/>
  </r>
  <r>
    <s v="yaaA"/>
    <s v="Peroxide stress protein YaaA"/>
    <s v="WP_152581620.1"/>
    <x v="13"/>
    <s v="B. tibiigranuli TMW 2.2057"/>
    <s v="[69]"/>
    <b v="1"/>
    <m/>
    <m/>
    <s v="No significant similarity found."/>
    <s v="No significant similarity found."/>
    <s v="No significant similarity found."/>
    <x v="0"/>
  </r>
  <r>
    <s v="msr"/>
    <s v="Methionine sulfoxide reductase"/>
    <s v="WP_162899813.1"/>
    <x v="13"/>
    <s v="B. longum NCC2705"/>
    <s v="[69]"/>
    <b v="1"/>
    <m/>
    <m/>
    <n v="90"/>
    <n v="9.9999999999999998E-46"/>
    <n v="54.81"/>
    <x v="1"/>
  </r>
  <r>
    <s v="gadB"/>
    <s v="Glutamate decarboxylase"/>
    <s v="WP_164503007.1"/>
    <x v="9"/>
    <s v="Lactobacillus plantarum (strain ATCC BAA-793 / NCIMB 8826 / WCFS1)"/>
    <s v="[72]"/>
    <b v="1"/>
    <m/>
    <m/>
    <s v="No significant similarity found."/>
    <s v="No significant similarity found."/>
    <s v="No significant similarity found."/>
    <x v="0"/>
  </r>
  <r>
    <s v="ark"/>
    <s v="Aldo/keto reductase"/>
    <s v="WP_198213703.1"/>
    <x v="12"/>
    <s v="Lactobacillus delbrueckii susp. lactis CIDCA 133"/>
    <s v="[59]"/>
    <b v="1"/>
    <m/>
    <m/>
    <n v="89"/>
    <n v="6.9999999999999995E-60"/>
    <n v="45.04"/>
    <x v="1"/>
  </r>
  <r>
    <s v="hspR"/>
    <s v="Helix-turn-helix transcriptional regulator"/>
    <s v="WP_223261679.1 "/>
    <x v="11"/>
    <s v="Bifidobacterium breve UCC2003"/>
    <s v="[69]"/>
    <b v="1"/>
    <m/>
    <m/>
    <s v="No significant similarity found."/>
    <s v="No significant similarity found."/>
    <s v="No significant similarity found."/>
    <x v="0"/>
  </r>
  <r>
    <s v="ros"/>
    <s v="Catalase"/>
    <s v="WP_257989435.1"/>
    <x v="0"/>
    <s v="Bacillus infantis 63-11"/>
    <s v="[62]"/>
    <b v="1"/>
    <m/>
    <m/>
    <s v="No significant similarity found."/>
    <s v="No significant similarity found."/>
    <s v="No significant similarity found."/>
    <x v="0"/>
  </r>
  <r>
    <s v="mmpl "/>
    <s v="Putative integral membrane proteins (Lipid transport)"/>
    <s v="WP_257992342.1"/>
    <x v="8"/>
    <s v="Bacillus infantis 63-11/Bacillus amyloliquefaciens 78-1"/>
    <s v="[62]"/>
    <b v="1"/>
    <m/>
    <m/>
    <n v="94"/>
    <n v="8.9999999999999993E-161"/>
    <n v="31.11"/>
    <x v="0"/>
  </r>
  <r>
    <s v="hag"/>
    <s v="Flagellin"/>
    <s v="WP_257992428.1"/>
    <x v="8"/>
    <s v="Bacillus infantis 63-11"/>
    <s v="[62]"/>
    <b v="1"/>
    <m/>
    <m/>
    <s v="No significant similarity found."/>
    <s v="No significant similarity found."/>
    <s v="No significant similarity found."/>
    <x v="0"/>
  </r>
  <r>
    <s v="mutY"/>
    <s v="A/G-specific adenine DNA glycosylase"/>
    <s v="WP_274784526.1"/>
    <x v="0"/>
    <m/>
    <s v="[69]"/>
    <b v="1"/>
    <m/>
    <m/>
    <s v="No significant similarity found."/>
    <s v="No significant similarity found."/>
    <s v="No significant similarity found."/>
    <x v="0"/>
  </r>
  <r>
    <m/>
    <s v="Glutathione peroxidase"/>
    <s v="WP_304312408.1"/>
    <x v="13"/>
    <s v="B. tibiigranuli TMW 2.2057"/>
    <s v="[69]"/>
    <b v="1"/>
    <m/>
    <m/>
    <s v="No significant similarity found."/>
    <s v="No significant similarity found."/>
    <s v="No significant similarity found."/>
    <x v="0"/>
  </r>
  <r>
    <s v="folA"/>
    <s v="Dihydrofolate reductase"/>
    <s v="WP_332243977.1"/>
    <x v="1"/>
    <s v="Lacticaseibacillus rhamnosus SD4/SD11"/>
    <s v="[36]"/>
    <b v="1"/>
    <m/>
    <m/>
    <n v="99"/>
    <n v="3E-28"/>
    <n v="36.31"/>
    <x v="0"/>
  </r>
  <r>
    <s v="tim "/>
    <s v="Glycosyl hydrolases family 2, TIM barrel domain"/>
    <s v="WP_336990457.1"/>
    <x v="8"/>
    <s v="Bacillus infantis 63-11/Bacillus amyloliquefaciens 78-1"/>
    <s v="[62]"/>
    <b v="1"/>
    <m/>
    <m/>
    <s v="No significant similarity found."/>
    <s v="No significant similarity found."/>
    <s v="No significant similarity found."/>
    <x v="0"/>
  </r>
  <r>
    <m/>
    <s v="Formyl-CoA transferase"/>
    <s v="WP_347011988.1"/>
    <x v="9"/>
    <s v="B. dentium bd1"/>
    <s v="[69]"/>
    <b v="1"/>
    <m/>
    <m/>
    <s v="No significant similarity found."/>
    <s v="No significant similarity found."/>
    <s v="No significant similarity found."/>
    <x v="0"/>
  </r>
  <r>
    <m/>
    <s v="Heavy metal translocating P-type ATPase"/>
    <s v="WP_370926313.1"/>
    <x v="0"/>
    <s v="Lactiplantibacillus plantarum JS21"/>
    <s v="[64]"/>
    <b v="1"/>
    <m/>
    <m/>
    <n v="98"/>
    <n v="0"/>
    <n v="48.56"/>
    <x v="1"/>
  </r>
  <r>
    <s v="ftsY"/>
    <s v="Signal recognition particle receptor FtsY"/>
    <s v="WP_370928799.1"/>
    <x v="0"/>
    <s v="Leuconostoc mesenteroides strain F-21"/>
    <s v="[57]"/>
    <b v="1"/>
    <m/>
    <m/>
    <n v="66"/>
    <n v="9.9999999999999999E-110"/>
    <n v="55.7"/>
    <x v="0"/>
  </r>
  <r>
    <s v="glgP"/>
    <s v="Glycogen phosphorylase"/>
    <s v="WPW64173.1"/>
    <x v="10"/>
    <s v="Lactiplantibacillus plantarum JS21"/>
    <s v="[64]"/>
    <b v="1"/>
    <m/>
    <m/>
    <s v="No significant similarity found."/>
    <s v="No significant similarity found."/>
    <s v="No significant similarity found."/>
    <x v="0"/>
  </r>
  <r>
    <s v="htrA"/>
    <s v="Serine protease HtrA"/>
    <s v="WPW64207.1"/>
    <x v="0"/>
    <s v="Lactobacillus plantarum (strain ATCC BAA-793 / NCIMB 8826 / WCFS1)"/>
    <s v="[63]"/>
    <b v="1"/>
    <m/>
    <m/>
    <n v="65"/>
    <n v="3.0000000000000001E-80"/>
    <n v="52.92"/>
    <x v="0"/>
  </r>
  <r>
    <s v="pyrG"/>
    <s v="CTP synthase"/>
    <s v="WPW64542.1"/>
    <x v="0"/>
    <s v="Lactobacillus plantarum (strain ATCC BAA-793 / NCIMB 8826 / WCFS1)"/>
    <s v="[67]"/>
    <b v="1"/>
    <m/>
    <m/>
    <n v="99"/>
    <n v="0"/>
    <n v="64.47"/>
    <x v="1"/>
  </r>
  <r>
    <s v="eno2"/>
    <s v="Enolase 2"/>
    <s v="WPW64738.1"/>
    <x v="0"/>
    <s v="Lactobacillus plantarum (strain ATCC BAA-793 / NCIMB 8826 / WCFS1)"/>
    <s v="[66]"/>
    <b v="1"/>
    <m/>
    <m/>
    <n v="92"/>
    <n v="1.0000000000000001E-130"/>
    <n v="52.33"/>
    <x v="1"/>
  </r>
  <r>
    <s v="clpE"/>
    <s v="ATP-dependent Clp protease, ATP-binding subunit ClpE"/>
    <s v="WPW65085.1"/>
    <x v="0"/>
    <s v="Lactobacillus plantarum (strain ATCC BAA-793 / NCIMB 8826 / WCFS1)"/>
    <s v="[63, 67]"/>
    <b v="1"/>
    <m/>
    <m/>
    <n v="91"/>
    <n v="0"/>
    <n v="71.34"/>
    <x v="1"/>
  </r>
  <r>
    <s v="ponA/pbp1A"/>
    <s v=" DD-transpeptidase / Penicillin-sensitive transpeptidase /  Penicillin-binding protein 1A"/>
    <s v="WPW65455.1"/>
    <x v="6"/>
    <s v="Lactobacillus plantarum (strain ATCC BAA-793 / NCIMB 8826 / WCFS1)"/>
    <s v="[66]"/>
    <b v="1"/>
    <m/>
    <m/>
    <n v="87"/>
    <n v="2.0000000000000001E-168"/>
    <n v="43.99"/>
    <x v="1"/>
  </r>
  <r>
    <s v="plsC"/>
    <s v="1-acylglycerol-3-phosphate O-acyltransferase"/>
    <s v="WPW65706.1"/>
    <x v="9"/>
    <s v="Lactobacillus plantarum (strain ATCC BAA-793 / NCIMB 8826 / WCFS1)"/>
    <s v="[63]"/>
    <b v="1"/>
    <m/>
    <m/>
    <n v="96"/>
    <n v="3.0000000000000001E-73"/>
    <n v="55.94"/>
    <x v="1"/>
  </r>
  <r>
    <s v="pgaC"/>
    <s v="Poly-beta-1,6-N-acetyl-D-glucosamine synthase"/>
    <s v="WPW66308.1"/>
    <x v="5"/>
    <s v="Lactiplantibacillus plantarum JS21"/>
    <s v="[64]"/>
    <b v="1"/>
    <m/>
    <m/>
    <n v="64"/>
    <n v="2.9999999999999998E-25"/>
    <n v="26.51"/>
    <x v="0"/>
  </r>
  <r>
    <m/>
    <s v="Polysaccharide biosynthesis C-terminal domain-containing protein"/>
    <s v="WQE70373.1"/>
    <x v="2"/>
    <s v="Lactiplantibacillus plantarum JS21"/>
    <s v="[64]"/>
    <b v="1"/>
    <m/>
    <m/>
    <s v="No significant similarity found."/>
    <s v="No significant similarity found."/>
    <s v="No significant similarity found."/>
    <x v="0"/>
  </r>
  <r>
    <s v="uspA"/>
    <s v="Universal stress protein"/>
    <s v="WWL92746.1"/>
    <x v="11"/>
    <s v="Bifidobacterium breve UCC2003"/>
    <s v="[69]"/>
    <b v="1"/>
    <m/>
    <m/>
    <s v="No significant similarity found."/>
    <s v="No significant similarity found."/>
    <s v="No significant similarity found."/>
    <x v="0"/>
  </r>
  <r>
    <m/>
    <s v="Isopeptide-forming pilin-related protein SpaA"/>
    <s v="XBD26475.1"/>
    <x v="4"/>
    <s v="Lacticaseibacillus rhamnosus SD4/SD11"/>
    <s v="[36]"/>
    <b v="1"/>
    <m/>
    <m/>
    <s v="No significant similarity found."/>
    <s v="No significant similarity found."/>
    <s v="No significant similarity found."/>
    <x v="0"/>
  </r>
  <r>
    <m/>
    <s v="HAD-IC family P-type ATPase"/>
    <s v="XCB13808.1"/>
    <x v="0"/>
    <s v="Lactiplantibacillus plantarum JS21"/>
    <s v="[64]"/>
    <b v="1"/>
    <m/>
    <m/>
    <n v="96"/>
    <n v="0"/>
    <n v="48.77"/>
    <x v="1"/>
  </r>
  <r>
    <s v="celB"/>
    <s v="PTS system, cellobiose-specific EIIC component"/>
    <s v="XCB15335.1"/>
    <x v="15"/>
    <s v="Lactobacillus plantarum "/>
    <s v="[58, 63]"/>
    <b v="1"/>
    <m/>
    <m/>
    <n v="92"/>
    <n v="4E-90"/>
    <n v="39.56"/>
    <x v="0"/>
  </r>
  <r>
    <s v="wecB"/>
    <s v="UDP-N-acetylglucosamine 2-epimerase (non-hydrolysing)"/>
    <s v="XGU24435.1"/>
    <x v="5"/>
    <s v="Lactiplantibacillus plantarum JS21"/>
    <s v="[64]"/>
    <b v="1"/>
    <m/>
    <m/>
    <n v="97"/>
    <n v="2.9999999999999999E-169"/>
    <n v="69.25"/>
    <x v="1"/>
  </r>
  <r>
    <s v="gatB"/>
    <s v="UTP--glucose-1-phosphate uridylyltransferase"/>
    <m/>
    <x v="5"/>
    <s v="Weissella paramesenteroides UFTM 2.6.1"/>
    <s v="[68]"/>
    <b v="0"/>
    <m/>
    <s v="Missing accession number and no reliable way to get it - mention this as a limintation and simply search for its function in bakta?"/>
    <m/>
    <m/>
    <m/>
    <x v="2"/>
  </r>
  <r>
    <s v="gbuA"/>
    <s v="Glycine betaine/carnitine transport ATP-binding protein GbuA"/>
    <m/>
    <x v="12"/>
    <s v="Weissella paramesenteroides UFTM 2.6.1"/>
    <s v="[68]"/>
    <b v="0"/>
    <m/>
    <s v="Missing accession number and no reliable way to get it - mention this as a limintation and simply search for its function in bakta?"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4BA22-A02F-448A-896E-F6B9B8A19C4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35" firstHeaderRow="1" firstDataRow="1" firstDataCol="1"/>
  <pivotFields count="13">
    <pivotField showAll="0"/>
    <pivotField showAll="0"/>
    <pivotField showAll="0"/>
    <pivotField axis="axisRow" showAll="0" sortType="descending">
      <items count="18">
        <item x="9"/>
        <item x="8"/>
        <item x="7"/>
        <item x="6"/>
        <item x="10"/>
        <item x="1"/>
        <item x="14"/>
        <item x="5"/>
        <item x="2"/>
        <item x="15"/>
        <item x="11"/>
        <item x="4"/>
        <item x="16"/>
        <item x="12"/>
        <item x="13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</pivotFields>
  <rowFields count="2">
    <field x="12"/>
    <field x="3"/>
  </rowFields>
  <rowItems count="34">
    <i>
      <x/>
    </i>
    <i r="1">
      <x v="16"/>
    </i>
    <i r="1">
      <x v="14"/>
    </i>
    <i r="1">
      <x v="3"/>
    </i>
    <i r="1">
      <x v="7"/>
    </i>
    <i r="1">
      <x/>
    </i>
    <i r="1">
      <x v="1"/>
    </i>
    <i r="1">
      <x v="13"/>
    </i>
    <i r="1">
      <x v="15"/>
    </i>
    <i r="1">
      <x v="5"/>
    </i>
    <i r="1">
      <x v="12"/>
    </i>
    <i r="1">
      <x v="6"/>
    </i>
    <i r="1">
      <x v="10"/>
    </i>
    <i r="1">
      <x v="9"/>
    </i>
    <i>
      <x v="1"/>
    </i>
    <i r="1">
      <x v="13"/>
    </i>
    <i r="1">
      <x v="7"/>
    </i>
    <i>
      <x v="2"/>
    </i>
    <i r="1">
      <x v="16"/>
    </i>
    <i r="1">
      <x v="1"/>
    </i>
    <i r="1">
      <x/>
    </i>
    <i r="1">
      <x v="7"/>
    </i>
    <i r="1">
      <x v="5"/>
    </i>
    <i r="1">
      <x v="14"/>
    </i>
    <i r="1">
      <x v="3"/>
    </i>
    <i r="1">
      <x v="10"/>
    </i>
    <i r="1">
      <x v="4"/>
    </i>
    <i r="1">
      <x v="13"/>
    </i>
    <i r="1">
      <x v="6"/>
    </i>
    <i r="1">
      <x v="11"/>
    </i>
    <i r="1">
      <x v="8"/>
    </i>
    <i r="1">
      <x v="2"/>
    </i>
    <i r="1">
      <x v="9"/>
    </i>
    <i t="grand">
      <x/>
    </i>
  </rowItems>
  <colItems count="1">
    <i/>
  </colItems>
  <dataFields count="1">
    <dataField name="Count of Match?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zoomScale="70" zoomScaleNormal="70" workbookViewId="0">
      <selection activeCell="B3" sqref="B3"/>
    </sheetView>
  </sheetViews>
  <sheetFormatPr defaultRowHeight="14.4"/>
  <cols>
    <col min="1" max="1" width="13.109375" customWidth="1"/>
    <col min="2" max="2" width="64.109375" customWidth="1"/>
    <col min="3" max="3" width="22.88671875" customWidth="1"/>
    <col min="4" max="4" width="28.44140625" customWidth="1"/>
    <col min="5" max="5" width="53.77734375" hidden="1" customWidth="1"/>
    <col min="6" max="6" width="13.88671875" customWidth="1"/>
    <col min="7" max="7" width="31.88671875" hidden="1" customWidth="1"/>
    <col min="8" max="8" width="17.21875" hidden="1" customWidth="1"/>
    <col min="9" max="9" width="7.109375" hidden="1" customWidth="1"/>
    <col min="10" max="12" width="27.44140625" bestFit="1" customWidth="1"/>
    <col min="13" max="13" width="12.77734375" bestFit="1" customWidth="1"/>
  </cols>
  <sheetData>
    <row r="1" spans="1:14">
      <c r="A1" s="22" t="s">
        <v>0</v>
      </c>
      <c r="B1" s="22"/>
      <c r="C1" s="22"/>
      <c r="D1" s="22"/>
      <c r="F1" s="22"/>
      <c r="G1" s="22"/>
    </row>
    <row r="2" spans="1:14">
      <c r="A2" s="1" t="s">
        <v>1</v>
      </c>
      <c r="B2" s="2" t="s">
        <v>2</v>
      </c>
      <c r="C2" s="4" t="s">
        <v>4</v>
      </c>
      <c r="D2" s="2" t="s">
        <v>5</v>
      </c>
      <c r="E2" s="2" t="s">
        <v>3</v>
      </c>
      <c r="F2" s="3" t="s">
        <v>6</v>
      </c>
      <c r="G2" s="40" t="s">
        <v>793</v>
      </c>
      <c r="H2" s="41" t="s">
        <v>794</v>
      </c>
      <c r="I2" s="41" t="s">
        <v>821</v>
      </c>
      <c r="J2" s="41" t="s">
        <v>823</v>
      </c>
      <c r="K2" s="41" t="s">
        <v>826</v>
      </c>
      <c r="L2" s="41" t="s">
        <v>822</v>
      </c>
      <c r="M2" s="41" t="s">
        <v>824</v>
      </c>
    </row>
    <row r="3" spans="1:14">
      <c r="A3" s="5" t="s">
        <v>569</v>
      </c>
      <c r="B3" s="6" t="s">
        <v>570</v>
      </c>
      <c r="C3" s="15" t="s">
        <v>571</v>
      </c>
      <c r="D3" s="6" t="s">
        <v>493</v>
      </c>
      <c r="E3" s="6"/>
      <c r="F3" s="8" t="s">
        <v>240</v>
      </c>
      <c r="G3" s="36" t="b">
        <f t="shared" ref="G3:G66" si="0">RIGHT(TRIM(C3),2)=".1"</f>
        <v>0</v>
      </c>
      <c r="H3" s="45" t="s">
        <v>795</v>
      </c>
      <c r="J3" t="s">
        <v>825</v>
      </c>
      <c r="K3" t="s">
        <v>825</v>
      </c>
      <c r="L3" t="s">
        <v>825</v>
      </c>
      <c r="M3" t="str">
        <f t="shared" ref="M3:M66" si="1">IF(AND(ISNUMBER(L3),L3&gt;=40,ISNUMBER(J3),J3&gt;=70),"Match","No Match")</f>
        <v>No Match</v>
      </c>
    </row>
    <row r="4" spans="1:14">
      <c r="A4" s="5" t="s">
        <v>211</v>
      </c>
      <c r="B4" s="6" t="s">
        <v>212</v>
      </c>
      <c r="C4" s="6" t="s">
        <v>213</v>
      </c>
      <c r="D4" s="6" t="s">
        <v>199</v>
      </c>
      <c r="E4" s="12" t="s">
        <v>681</v>
      </c>
      <c r="F4" s="10" t="s">
        <v>210</v>
      </c>
      <c r="G4" s="36" t="b">
        <f t="shared" si="0"/>
        <v>0</v>
      </c>
      <c r="H4" s="45" t="s">
        <v>796</v>
      </c>
      <c r="J4">
        <v>92</v>
      </c>
      <c r="K4" s="47">
        <v>4.9999999999999999E-67</v>
      </c>
      <c r="L4">
        <v>33.17</v>
      </c>
      <c r="M4" t="str">
        <f t="shared" si="1"/>
        <v>No Match</v>
      </c>
    </row>
    <row r="5" spans="1:14">
      <c r="A5" s="5" t="s">
        <v>196</v>
      </c>
      <c r="B5" s="6" t="s">
        <v>197</v>
      </c>
      <c r="C5" s="6" t="s">
        <v>198</v>
      </c>
      <c r="D5" s="6" t="s">
        <v>199</v>
      </c>
      <c r="E5" s="7" t="s">
        <v>639</v>
      </c>
      <c r="F5" s="10" t="s">
        <v>11</v>
      </c>
      <c r="G5" s="36" t="b">
        <f t="shared" si="0"/>
        <v>0</v>
      </c>
      <c r="H5" s="45" t="s">
        <v>797</v>
      </c>
      <c r="I5" t="s">
        <v>805</v>
      </c>
      <c r="J5">
        <v>93</v>
      </c>
      <c r="K5" s="47">
        <v>1.0000000000000001E-31</v>
      </c>
      <c r="L5">
        <v>28.51</v>
      </c>
      <c r="M5" t="str">
        <f t="shared" si="1"/>
        <v>No Match</v>
      </c>
    </row>
    <row r="6" spans="1:14">
      <c r="A6" s="5" t="s">
        <v>146</v>
      </c>
      <c r="B6" s="12" t="s">
        <v>147</v>
      </c>
      <c r="C6" s="15" t="s">
        <v>148</v>
      </c>
      <c r="D6" s="12" t="s">
        <v>149</v>
      </c>
      <c r="E6" s="6" t="s">
        <v>660</v>
      </c>
      <c r="F6" s="10" t="s">
        <v>89</v>
      </c>
      <c r="G6" s="36" t="b">
        <f t="shared" si="0"/>
        <v>0</v>
      </c>
      <c r="H6" s="45" t="s">
        <v>798</v>
      </c>
      <c r="J6" t="s">
        <v>825</v>
      </c>
      <c r="K6" t="s">
        <v>825</v>
      </c>
      <c r="L6" t="s">
        <v>825</v>
      </c>
      <c r="M6" t="str">
        <f t="shared" si="1"/>
        <v>No Match</v>
      </c>
    </row>
    <row r="7" spans="1:14">
      <c r="A7" s="5" t="s">
        <v>486</v>
      </c>
      <c r="B7" s="6" t="s">
        <v>487</v>
      </c>
      <c r="C7" s="15" t="s">
        <v>488</v>
      </c>
      <c r="D7" s="6" t="s">
        <v>484</v>
      </c>
      <c r="E7" s="6"/>
      <c r="F7" s="10" t="s">
        <v>240</v>
      </c>
      <c r="G7" s="36" t="b">
        <f t="shared" si="0"/>
        <v>0</v>
      </c>
      <c r="H7" s="45" t="s">
        <v>799</v>
      </c>
      <c r="J7">
        <v>88</v>
      </c>
      <c r="K7" s="47">
        <v>2E-95</v>
      </c>
      <c r="L7">
        <v>55.72</v>
      </c>
      <c r="M7" t="str">
        <f t="shared" si="1"/>
        <v>Match</v>
      </c>
    </row>
    <row r="8" spans="1:14">
      <c r="A8" s="11" t="s">
        <v>233</v>
      </c>
      <c r="B8" s="6" t="s">
        <v>234</v>
      </c>
      <c r="C8" s="6" t="s">
        <v>235</v>
      </c>
      <c r="D8" s="6" t="s">
        <v>199</v>
      </c>
      <c r="E8" s="7" t="s">
        <v>639</v>
      </c>
      <c r="F8" s="10" t="s">
        <v>11</v>
      </c>
      <c r="G8" s="36" t="b">
        <f t="shared" si="0"/>
        <v>0</v>
      </c>
      <c r="H8" s="45" t="s">
        <v>800</v>
      </c>
      <c r="J8">
        <v>98</v>
      </c>
      <c r="K8" s="47">
        <v>4.0000000000000003E-15</v>
      </c>
      <c r="L8">
        <v>26.75</v>
      </c>
      <c r="M8" t="str">
        <f t="shared" si="1"/>
        <v>No Match</v>
      </c>
    </row>
    <row r="9" spans="1:14">
      <c r="A9" s="5"/>
      <c r="B9" s="6" t="s">
        <v>189</v>
      </c>
      <c r="C9" s="15" t="s">
        <v>190</v>
      </c>
      <c r="D9" s="6" t="s">
        <v>191</v>
      </c>
      <c r="E9" s="7" t="s">
        <v>639</v>
      </c>
      <c r="F9" s="10" t="s">
        <v>11</v>
      </c>
      <c r="G9" s="36" t="b">
        <f t="shared" si="0"/>
        <v>0</v>
      </c>
      <c r="H9" s="45" t="s">
        <v>801</v>
      </c>
      <c r="J9" t="s">
        <v>825</v>
      </c>
      <c r="K9" t="s">
        <v>825</v>
      </c>
      <c r="L9" t="s">
        <v>825</v>
      </c>
      <c r="M9" t="str">
        <f t="shared" si="1"/>
        <v>No Match</v>
      </c>
    </row>
    <row r="10" spans="1:14">
      <c r="A10" s="5" t="s">
        <v>79</v>
      </c>
      <c r="B10" s="6"/>
      <c r="C10" s="6" t="s">
        <v>81</v>
      </c>
      <c r="D10" s="6" t="s">
        <v>82</v>
      </c>
      <c r="E10" s="6" t="s">
        <v>80</v>
      </c>
      <c r="F10" s="10" t="s">
        <v>83</v>
      </c>
      <c r="G10" s="36" t="b">
        <f t="shared" si="0"/>
        <v>0</v>
      </c>
      <c r="H10" s="45" t="s">
        <v>802</v>
      </c>
      <c r="J10" t="s">
        <v>825</v>
      </c>
      <c r="K10" t="s">
        <v>825</v>
      </c>
      <c r="L10" t="s">
        <v>825</v>
      </c>
      <c r="M10" t="str">
        <f t="shared" si="1"/>
        <v>No Match</v>
      </c>
    </row>
    <row r="11" spans="1:14">
      <c r="A11" s="5" t="s">
        <v>84</v>
      </c>
      <c r="B11" s="6"/>
      <c r="C11" s="15" t="s">
        <v>85</v>
      </c>
      <c r="D11" s="6" t="s">
        <v>82</v>
      </c>
      <c r="E11" s="6" t="s">
        <v>80</v>
      </c>
      <c r="F11" s="10" t="s">
        <v>83</v>
      </c>
      <c r="G11" s="36" t="b">
        <f t="shared" si="0"/>
        <v>0</v>
      </c>
      <c r="H11" s="45" t="s">
        <v>803</v>
      </c>
      <c r="J11" t="s">
        <v>825</v>
      </c>
      <c r="K11" t="s">
        <v>825</v>
      </c>
      <c r="L11" t="s">
        <v>825</v>
      </c>
      <c r="M11" t="str">
        <f t="shared" si="1"/>
        <v>No Match</v>
      </c>
    </row>
    <row r="12" spans="1:14">
      <c r="A12" s="5" t="s">
        <v>299</v>
      </c>
      <c r="B12" s="6"/>
      <c r="C12" s="15" t="s">
        <v>300</v>
      </c>
      <c r="D12" s="6" t="s">
        <v>298</v>
      </c>
      <c r="E12" s="6"/>
      <c r="F12" s="10" t="s">
        <v>240</v>
      </c>
      <c r="G12" s="36" t="b">
        <f t="shared" si="0"/>
        <v>0</v>
      </c>
      <c r="H12" s="45" t="s">
        <v>804</v>
      </c>
      <c r="I12" t="s">
        <v>805</v>
      </c>
      <c r="J12" t="s">
        <v>825</v>
      </c>
      <c r="K12" t="s">
        <v>825</v>
      </c>
      <c r="L12" t="s">
        <v>825</v>
      </c>
      <c r="M12" t="str">
        <f t="shared" si="1"/>
        <v>No Match</v>
      </c>
    </row>
    <row r="13" spans="1:14">
      <c r="A13" s="5" t="s">
        <v>184</v>
      </c>
      <c r="B13" s="6" t="s">
        <v>185</v>
      </c>
      <c r="C13" s="6" t="s">
        <v>678</v>
      </c>
      <c r="D13" s="6" t="s">
        <v>186</v>
      </c>
      <c r="E13" s="6" t="s">
        <v>677</v>
      </c>
      <c r="F13" s="10" t="s">
        <v>14</v>
      </c>
      <c r="G13" s="36" t="b">
        <f t="shared" si="0"/>
        <v>1</v>
      </c>
      <c r="J13">
        <v>71</v>
      </c>
      <c r="K13" s="47">
        <v>3.0000000000000002E-53</v>
      </c>
      <c r="L13">
        <v>30</v>
      </c>
      <c r="M13" t="str">
        <f t="shared" si="1"/>
        <v>No Match</v>
      </c>
      <c r="N13" s="48"/>
    </row>
    <row r="14" spans="1:14">
      <c r="A14" s="20" t="s">
        <v>329</v>
      </c>
      <c r="B14" s="12" t="s">
        <v>330</v>
      </c>
      <c r="C14" s="6" t="s">
        <v>722</v>
      </c>
      <c r="D14" s="12" t="s">
        <v>298</v>
      </c>
      <c r="E14" s="19" t="s">
        <v>694</v>
      </c>
      <c r="F14" s="16" t="s">
        <v>260</v>
      </c>
      <c r="G14" s="36" t="b">
        <f t="shared" si="0"/>
        <v>1</v>
      </c>
      <c r="J14">
        <v>89</v>
      </c>
      <c r="K14" s="47">
        <v>7E-139</v>
      </c>
      <c r="L14">
        <v>46.07</v>
      </c>
      <c r="M14" t="str">
        <f t="shared" si="1"/>
        <v>Match</v>
      </c>
    </row>
    <row r="15" spans="1:14">
      <c r="A15" s="5" t="s">
        <v>12</v>
      </c>
      <c r="B15" s="6" t="s">
        <v>13</v>
      </c>
      <c r="C15" s="6" t="s">
        <v>636</v>
      </c>
      <c r="D15" s="6" t="s">
        <v>10</v>
      </c>
      <c r="E15" s="6" t="s">
        <v>635</v>
      </c>
      <c r="F15" s="10" t="s">
        <v>14</v>
      </c>
      <c r="G15" s="36" t="b">
        <f t="shared" si="0"/>
        <v>1</v>
      </c>
      <c r="J15">
        <v>77</v>
      </c>
      <c r="K15" s="47">
        <v>4.9999999999999999E-61</v>
      </c>
      <c r="L15">
        <v>36.51</v>
      </c>
      <c r="M15" t="str">
        <f t="shared" si="1"/>
        <v>No Match</v>
      </c>
    </row>
    <row r="16" spans="1:14">
      <c r="A16" s="5" t="s">
        <v>45</v>
      </c>
      <c r="B16" s="6" t="s">
        <v>46</v>
      </c>
      <c r="C16" s="6" t="s">
        <v>649</v>
      </c>
      <c r="D16" s="12" t="s">
        <v>10</v>
      </c>
      <c r="E16" s="6" t="s">
        <v>648</v>
      </c>
      <c r="F16" s="10" t="s">
        <v>14</v>
      </c>
      <c r="G16" s="36" t="b">
        <f t="shared" si="0"/>
        <v>1</v>
      </c>
      <c r="J16" t="s">
        <v>825</v>
      </c>
      <c r="K16" t="s">
        <v>825</v>
      </c>
      <c r="L16" t="s">
        <v>825</v>
      </c>
      <c r="M16" t="str">
        <f t="shared" si="1"/>
        <v>No Match</v>
      </c>
    </row>
    <row r="17" spans="1:13">
      <c r="A17" s="5" t="s">
        <v>49</v>
      </c>
      <c r="B17" s="6" t="s">
        <v>50</v>
      </c>
      <c r="C17" s="6" t="s">
        <v>652</v>
      </c>
      <c r="D17" s="12" t="s">
        <v>10</v>
      </c>
      <c r="E17" s="6" t="s">
        <v>651</v>
      </c>
      <c r="F17" s="10" t="s">
        <v>14</v>
      </c>
      <c r="G17" s="36" t="b">
        <f t="shared" si="0"/>
        <v>1</v>
      </c>
      <c r="J17" t="s">
        <v>825</v>
      </c>
      <c r="K17" t="s">
        <v>825</v>
      </c>
      <c r="L17" t="s">
        <v>825</v>
      </c>
      <c r="M17" t="str">
        <f t="shared" si="1"/>
        <v>No Match</v>
      </c>
    </row>
    <row r="18" spans="1:13">
      <c r="A18" s="11" t="s">
        <v>318</v>
      </c>
      <c r="B18" s="12" t="s">
        <v>319</v>
      </c>
      <c r="C18" s="6" t="s">
        <v>320</v>
      </c>
      <c r="D18" s="12" t="s">
        <v>298</v>
      </c>
      <c r="E18" s="19" t="s">
        <v>715</v>
      </c>
      <c r="F18" s="10" t="s">
        <v>14</v>
      </c>
      <c r="G18" s="36" t="b">
        <f t="shared" si="0"/>
        <v>1</v>
      </c>
      <c r="J18">
        <v>1</v>
      </c>
      <c r="K18" s="47">
        <v>2.0000000000000001E-62</v>
      </c>
      <c r="L18">
        <v>61.29</v>
      </c>
      <c r="M18" t="str">
        <f t="shared" si="1"/>
        <v>No Match</v>
      </c>
    </row>
    <row r="19" spans="1:13">
      <c r="A19" s="11" t="s">
        <v>264</v>
      </c>
      <c r="B19" s="12" t="s">
        <v>265</v>
      </c>
      <c r="C19" s="6" t="s">
        <v>696</v>
      </c>
      <c r="D19" s="12" t="s">
        <v>239</v>
      </c>
      <c r="E19" s="12" t="s">
        <v>655</v>
      </c>
      <c r="F19" s="10" t="s">
        <v>17</v>
      </c>
      <c r="G19" s="36" t="b">
        <f t="shared" si="0"/>
        <v>1</v>
      </c>
      <c r="J19" t="s">
        <v>825</v>
      </c>
      <c r="K19" t="s">
        <v>825</v>
      </c>
      <c r="L19" t="s">
        <v>825</v>
      </c>
      <c r="M19" t="str">
        <f t="shared" si="1"/>
        <v>No Match</v>
      </c>
    </row>
    <row r="20" spans="1:13">
      <c r="A20" s="11" t="s">
        <v>306</v>
      </c>
      <c r="B20" s="12" t="s">
        <v>307</v>
      </c>
      <c r="C20" s="6" t="s">
        <v>308</v>
      </c>
      <c r="D20" s="12" t="s">
        <v>298</v>
      </c>
      <c r="E20" s="12" t="s">
        <v>711</v>
      </c>
      <c r="F20" s="10" t="s">
        <v>14</v>
      </c>
      <c r="G20" s="36" t="b">
        <f t="shared" si="0"/>
        <v>1</v>
      </c>
      <c r="J20">
        <v>1</v>
      </c>
      <c r="K20" s="47">
        <v>1.0000000000000001E-130</v>
      </c>
      <c r="L20">
        <v>59.82</v>
      </c>
      <c r="M20" t="str">
        <f t="shared" si="1"/>
        <v>No Match</v>
      </c>
    </row>
    <row r="21" spans="1:13">
      <c r="A21" s="5" t="s">
        <v>143</v>
      </c>
      <c r="B21" s="18" t="s">
        <v>144</v>
      </c>
      <c r="C21" s="15" t="s">
        <v>145</v>
      </c>
      <c r="D21" s="6" t="s">
        <v>82</v>
      </c>
      <c r="E21" s="6" t="s">
        <v>80</v>
      </c>
      <c r="F21" s="10" t="s">
        <v>83</v>
      </c>
      <c r="G21" s="36" t="b">
        <f t="shared" si="0"/>
        <v>1</v>
      </c>
      <c r="J21" t="s">
        <v>825</v>
      </c>
      <c r="K21" t="s">
        <v>825</v>
      </c>
      <c r="L21" t="s">
        <v>825</v>
      </c>
      <c r="M21" t="str">
        <f t="shared" si="1"/>
        <v>No Match</v>
      </c>
    </row>
    <row r="22" spans="1:13">
      <c r="A22" s="5" t="s">
        <v>140</v>
      </c>
      <c r="B22" s="18" t="s">
        <v>141</v>
      </c>
      <c r="C22" s="6" t="s">
        <v>142</v>
      </c>
      <c r="D22" s="6" t="s">
        <v>82</v>
      </c>
      <c r="E22" s="6" t="s">
        <v>80</v>
      </c>
      <c r="F22" s="10" t="s">
        <v>83</v>
      </c>
      <c r="G22" s="36" t="b">
        <f t="shared" si="0"/>
        <v>1</v>
      </c>
      <c r="J22">
        <v>84</v>
      </c>
      <c r="K22" s="47">
        <v>6E-57</v>
      </c>
      <c r="L22">
        <v>31.53</v>
      </c>
      <c r="M22" t="str">
        <f t="shared" si="1"/>
        <v>No Match</v>
      </c>
    </row>
    <row r="23" spans="1:13">
      <c r="A23" s="20" t="s">
        <v>309</v>
      </c>
      <c r="B23" s="21" t="s">
        <v>310</v>
      </c>
      <c r="C23" s="6" t="s">
        <v>713</v>
      </c>
      <c r="D23" s="21" t="s">
        <v>298</v>
      </c>
      <c r="E23" s="21" t="s">
        <v>712</v>
      </c>
      <c r="F23" s="10" t="s">
        <v>268</v>
      </c>
      <c r="G23" s="36" t="b">
        <f t="shared" si="0"/>
        <v>1</v>
      </c>
      <c r="J23">
        <v>99</v>
      </c>
      <c r="K23" s="47">
        <v>2E-99</v>
      </c>
      <c r="L23">
        <v>48.16</v>
      </c>
      <c r="M23" t="str">
        <f t="shared" si="1"/>
        <v>Match</v>
      </c>
    </row>
    <row r="24" spans="1:13">
      <c r="A24" s="5" t="s">
        <v>325</v>
      </c>
      <c r="B24" s="6" t="s">
        <v>326</v>
      </c>
      <c r="C24" s="6" t="s">
        <v>719</v>
      </c>
      <c r="D24" s="6" t="s">
        <v>298</v>
      </c>
      <c r="E24" s="7" t="s">
        <v>639</v>
      </c>
      <c r="F24" s="10" t="s">
        <v>11</v>
      </c>
      <c r="G24" s="36" t="b">
        <f t="shared" si="0"/>
        <v>1</v>
      </c>
      <c r="J24">
        <v>96</v>
      </c>
      <c r="K24">
        <v>0</v>
      </c>
      <c r="L24">
        <v>55.42</v>
      </c>
      <c r="M24" t="str">
        <f t="shared" si="1"/>
        <v>Match</v>
      </c>
    </row>
    <row r="25" spans="1:13">
      <c r="A25" s="5" t="s">
        <v>18</v>
      </c>
      <c r="B25" s="6" t="s">
        <v>19</v>
      </c>
      <c r="C25" s="6" t="s">
        <v>20</v>
      </c>
      <c r="D25" s="6" t="s">
        <v>10</v>
      </c>
      <c r="E25" s="7" t="s">
        <v>639</v>
      </c>
      <c r="F25" s="10" t="s">
        <v>11</v>
      </c>
      <c r="G25" s="36" t="b">
        <f t="shared" si="0"/>
        <v>1</v>
      </c>
      <c r="J25" t="s">
        <v>825</v>
      </c>
      <c r="K25" t="s">
        <v>825</v>
      </c>
      <c r="L25" t="s">
        <v>825</v>
      </c>
      <c r="M25" t="str">
        <f t="shared" si="1"/>
        <v>No Match</v>
      </c>
    </row>
    <row r="26" spans="1:13">
      <c r="A26" s="5" t="s">
        <v>172</v>
      </c>
      <c r="B26" s="6" t="s">
        <v>173</v>
      </c>
      <c r="C26" s="6" t="s">
        <v>174</v>
      </c>
      <c r="D26" s="6" t="s">
        <v>155</v>
      </c>
      <c r="E26" s="6" t="s">
        <v>660</v>
      </c>
      <c r="F26" s="10" t="s">
        <v>89</v>
      </c>
      <c r="G26" s="36" t="b">
        <f t="shared" si="0"/>
        <v>1</v>
      </c>
      <c r="J26">
        <v>95</v>
      </c>
      <c r="K26" s="47">
        <v>1.0000000000000001E-17</v>
      </c>
      <c r="L26">
        <v>30.26</v>
      </c>
      <c r="M26" t="str">
        <f t="shared" si="1"/>
        <v>No Match</v>
      </c>
    </row>
    <row r="27" spans="1:13">
      <c r="A27" s="20" t="s">
        <v>367</v>
      </c>
      <c r="B27" s="21" t="s">
        <v>368</v>
      </c>
      <c r="C27" s="6" t="s">
        <v>732</v>
      </c>
      <c r="D27" s="21" t="s">
        <v>366</v>
      </c>
      <c r="E27" s="21" t="s">
        <v>731</v>
      </c>
      <c r="F27" s="10" t="s">
        <v>268</v>
      </c>
      <c r="G27" s="36" t="b">
        <f t="shared" si="0"/>
        <v>1</v>
      </c>
      <c r="J27">
        <v>1</v>
      </c>
      <c r="K27" s="47">
        <v>2.9999999999999999E-82</v>
      </c>
      <c r="L27">
        <v>47.38</v>
      </c>
      <c r="M27" t="str">
        <f t="shared" si="1"/>
        <v>No Match</v>
      </c>
    </row>
    <row r="28" spans="1:13">
      <c r="A28" s="5"/>
      <c r="B28" s="12" t="s">
        <v>152</v>
      </c>
      <c r="C28" s="6" t="s">
        <v>669</v>
      </c>
      <c r="D28" s="12" t="s">
        <v>149</v>
      </c>
      <c r="E28" s="6" t="s">
        <v>660</v>
      </c>
      <c r="F28" s="10" t="s">
        <v>89</v>
      </c>
      <c r="G28" s="36" t="b">
        <f t="shared" si="0"/>
        <v>1</v>
      </c>
      <c r="J28" t="s">
        <v>825</v>
      </c>
      <c r="K28" t="s">
        <v>825</v>
      </c>
      <c r="L28" t="s">
        <v>825</v>
      </c>
      <c r="M28" t="str">
        <f t="shared" si="1"/>
        <v>No Match</v>
      </c>
    </row>
    <row r="29" spans="1:13">
      <c r="A29" s="5" t="s">
        <v>187</v>
      </c>
      <c r="B29" s="6" t="s">
        <v>188</v>
      </c>
      <c r="C29" s="6" t="s">
        <v>679</v>
      </c>
      <c r="D29" s="6" t="s">
        <v>186</v>
      </c>
      <c r="E29" s="6" t="s">
        <v>635</v>
      </c>
      <c r="F29" s="10" t="s">
        <v>14</v>
      </c>
      <c r="G29" s="36" t="b">
        <f t="shared" si="0"/>
        <v>1</v>
      </c>
      <c r="J29">
        <v>79</v>
      </c>
      <c r="K29" s="47">
        <v>9.9999999999999999E-56</v>
      </c>
      <c r="L29">
        <v>25.68</v>
      </c>
      <c r="M29" t="str">
        <f t="shared" si="1"/>
        <v>No Match</v>
      </c>
    </row>
    <row r="30" spans="1:13">
      <c r="A30" s="5" t="s">
        <v>159</v>
      </c>
      <c r="B30" s="6" t="s">
        <v>160</v>
      </c>
      <c r="C30" s="6" t="s">
        <v>161</v>
      </c>
      <c r="D30" s="6" t="s">
        <v>155</v>
      </c>
      <c r="E30" s="6" t="s">
        <v>664</v>
      </c>
      <c r="F30" s="10" t="s">
        <v>89</v>
      </c>
      <c r="G30" s="36" t="b">
        <f t="shared" si="0"/>
        <v>1</v>
      </c>
      <c r="J30" t="s">
        <v>825</v>
      </c>
      <c r="K30" t="s">
        <v>825</v>
      </c>
      <c r="L30" t="s">
        <v>825</v>
      </c>
      <c r="M30" t="str">
        <f t="shared" si="1"/>
        <v>No Match</v>
      </c>
    </row>
    <row r="31" spans="1:13">
      <c r="A31" s="5"/>
      <c r="B31" s="12" t="s">
        <v>622</v>
      </c>
      <c r="C31" s="6" t="s">
        <v>623</v>
      </c>
      <c r="D31" s="12" t="s">
        <v>493</v>
      </c>
      <c r="E31" s="6" t="s">
        <v>660</v>
      </c>
      <c r="F31" s="10" t="s">
        <v>89</v>
      </c>
      <c r="G31" s="36" t="b">
        <f t="shared" si="0"/>
        <v>1</v>
      </c>
      <c r="J31">
        <v>89</v>
      </c>
      <c r="K31" s="47">
        <v>3.9999999999999998E-36</v>
      </c>
      <c r="L31">
        <v>27.15</v>
      </c>
      <c r="M31" t="str">
        <f t="shared" si="1"/>
        <v>No Match</v>
      </c>
    </row>
    <row r="32" spans="1:13">
      <c r="A32" s="5" t="s">
        <v>86</v>
      </c>
      <c r="B32" s="6" t="s">
        <v>87</v>
      </c>
      <c r="C32" s="6" t="s">
        <v>88</v>
      </c>
      <c r="D32" s="6" t="s">
        <v>82</v>
      </c>
      <c r="E32" s="6" t="s">
        <v>660</v>
      </c>
      <c r="F32" s="10" t="s">
        <v>89</v>
      </c>
      <c r="G32" s="36" t="b">
        <f t="shared" si="0"/>
        <v>1</v>
      </c>
      <c r="J32">
        <v>55.000000000000007</v>
      </c>
      <c r="K32" s="47">
        <v>5.9999999999999995E-4</v>
      </c>
      <c r="L32">
        <v>30.19</v>
      </c>
      <c r="M32" t="str">
        <f t="shared" si="1"/>
        <v>No Match</v>
      </c>
    </row>
    <row r="33" spans="1:13">
      <c r="A33" s="5" t="s">
        <v>166</v>
      </c>
      <c r="B33" s="6" t="s">
        <v>167</v>
      </c>
      <c r="C33" s="6" t="s">
        <v>168</v>
      </c>
      <c r="D33" s="6" t="s">
        <v>155</v>
      </c>
      <c r="E33" s="6" t="s">
        <v>664</v>
      </c>
      <c r="F33" s="10" t="s">
        <v>89</v>
      </c>
      <c r="G33" s="36" t="b">
        <f t="shared" si="0"/>
        <v>1</v>
      </c>
      <c r="J33" t="s">
        <v>825</v>
      </c>
      <c r="K33" t="s">
        <v>825</v>
      </c>
      <c r="L33" t="s">
        <v>825</v>
      </c>
      <c r="M33" t="str">
        <f t="shared" si="1"/>
        <v>No Match</v>
      </c>
    </row>
    <row r="34" spans="1:13">
      <c r="A34" s="5"/>
      <c r="B34" s="12" t="s">
        <v>626</v>
      </c>
      <c r="C34" s="6" t="s">
        <v>627</v>
      </c>
      <c r="D34" s="12" t="s">
        <v>493</v>
      </c>
      <c r="E34" s="6" t="s">
        <v>660</v>
      </c>
      <c r="F34" s="10" t="s">
        <v>89</v>
      </c>
      <c r="G34" s="36" t="b">
        <f t="shared" si="0"/>
        <v>1</v>
      </c>
      <c r="J34">
        <v>99</v>
      </c>
      <c r="K34">
        <v>0</v>
      </c>
      <c r="L34">
        <v>73.45</v>
      </c>
      <c r="M34" t="str">
        <f t="shared" si="1"/>
        <v>Match</v>
      </c>
    </row>
    <row r="35" spans="1:13">
      <c r="A35" s="14" t="s">
        <v>110</v>
      </c>
      <c r="B35" s="15" t="s">
        <v>111</v>
      </c>
      <c r="C35" s="6" t="s">
        <v>112</v>
      </c>
      <c r="D35" s="6" t="s">
        <v>82</v>
      </c>
      <c r="E35" s="12" t="s">
        <v>640</v>
      </c>
      <c r="F35" s="10" t="s">
        <v>23</v>
      </c>
      <c r="G35" s="36" t="b">
        <f t="shared" si="0"/>
        <v>1</v>
      </c>
      <c r="J35" t="s">
        <v>825</v>
      </c>
      <c r="K35" t="s">
        <v>825</v>
      </c>
      <c r="L35" t="s">
        <v>825</v>
      </c>
      <c r="M35" t="str">
        <f t="shared" si="1"/>
        <v>No Match</v>
      </c>
    </row>
    <row r="36" spans="1:13">
      <c r="A36" s="14" t="s">
        <v>107</v>
      </c>
      <c r="B36" s="15" t="s">
        <v>108</v>
      </c>
      <c r="C36" s="6" t="s">
        <v>109</v>
      </c>
      <c r="D36" s="6" t="s">
        <v>82</v>
      </c>
      <c r="E36" s="12" t="s">
        <v>640</v>
      </c>
      <c r="F36" s="10" t="s">
        <v>23</v>
      </c>
      <c r="G36" s="36" t="b">
        <f t="shared" si="0"/>
        <v>1</v>
      </c>
      <c r="J36">
        <v>56.999999999999993</v>
      </c>
      <c r="K36" s="47">
        <v>3.0000000000000001E-6</v>
      </c>
      <c r="L36">
        <v>27.48</v>
      </c>
      <c r="M36" t="str">
        <f t="shared" si="1"/>
        <v>No Match</v>
      </c>
    </row>
    <row r="37" spans="1:13">
      <c r="A37" s="17" t="s">
        <v>104</v>
      </c>
      <c r="B37" s="15" t="s">
        <v>105</v>
      </c>
      <c r="C37" s="6" t="s">
        <v>106</v>
      </c>
      <c r="D37" s="6" t="s">
        <v>82</v>
      </c>
      <c r="E37" s="12" t="s">
        <v>640</v>
      </c>
      <c r="F37" s="10" t="s">
        <v>23</v>
      </c>
      <c r="G37" s="36" t="b">
        <f t="shared" si="0"/>
        <v>1</v>
      </c>
      <c r="J37" t="s">
        <v>825</v>
      </c>
      <c r="K37" t="s">
        <v>825</v>
      </c>
      <c r="L37" t="s">
        <v>825</v>
      </c>
      <c r="M37" t="str">
        <f t="shared" si="1"/>
        <v>No Match</v>
      </c>
    </row>
    <row r="38" spans="1:13">
      <c r="A38" s="14" t="s">
        <v>564</v>
      </c>
      <c r="B38" s="15" t="s">
        <v>565</v>
      </c>
      <c r="C38" s="6" t="s">
        <v>566</v>
      </c>
      <c r="D38" s="6" t="s">
        <v>493</v>
      </c>
      <c r="E38" s="12" t="s">
        <v>729</v>
      </c>
      <c r="F38" s="10" t="s">
        <v>23</v>
      </c>
      <c r="G38" s="36" t="b">
        <f t="shared" si="0"/>
        <v>1</v>
      </c>
      <c r="J38" t="s">
        <v>825</v>
      </c>
      <c r="K38" t="s">
        <v>825</v>
      </c>
      <c r="L38" t="s">
        <v>825</v>
      </c>
      <c r="M38" t="str">
        <f t="shared" si="1"/>
        <v>No Match</v>
      </c>
    </row>
    <row r="39" spans="1:13">
      <c r="A39" s="5" t="s">
        <v>482</v>
      </c>
      <c r="B39" s="6" t="s">
        <v>483</v>
      </c>
      <c r="C39" s="6" t="s">
        <v>761</v>
      </c>
      <c r="D39" s="6" t="s">
        <v>484</v>
      </c>
      <c r="E39" s="7" t="s">
        <v>760</v>
      </c>
      <c r="F39" s="10" t="s">
        <v>485</v>
      </c>
      <c r="G39" s="36" t="b">
        <f t="shared" si="0"/>
        <v>1</v>
      </c>
      <c r="J39">
        <v>93</v>
      </c>
      <c r="K39" s="47">
        <v>8.0000000000000005E-123</v>
      </c>
      <c r="L39">
        <v>58.28</v>
      </c>
      <c r="M39" t="str">
        <f t="shared" si="1"/>
        <v>Match</v>
      </c>
    </row>
    <row r="40" spans="1:13">
      <c r="A40" s="5" t="s">
        <v>35</v>
      </c>
      <c r="B40" s="6" t="s">
        <v>36</v>
      </c>
      <c r="C40" s="6" t="s">
        <v>37</v>
      </c>
      <c r="D40" s="6" t="s">
        <v>10</v>
      </c>
      <c r="E40" s="6" t="s">
        <v>645</v>
      </c>
      <c r="F40" s="10" t="s">
        <v>14</v>
      </c>
      <c r="G40" s="36" t="b">
        <f t="shared" si="0"/>
        <v>1</v>
      </c>
      <c r="J40">
        <v>3</v>
      </c>
      <c r="K40">
        <v>4.3999999999999997E-2</v>
      </c>
      <c r="L40">
        <v>28.3</v>
      </c>
      <c r="M40" t="str">
        <f t="shared" si="1"/>
        <v>No Match</v>
      </c>
    </row>
    <row r="41" spans="1:13">
      <c r="A41" s="5" t="s">
        <v>243</v>
      </c>
      <c r="B41" s="6" t="s">
        <v>244</v>
      </c>
      <c r="C41" s="15" t="s">
        <v>245</v>
      </c>
      <c r="D41" s="6" t="s">
        <v>239</v>
      </c>
      <c r="E41" s="6"/>
      <c r="F41" s="10" t="s">
        <v>246</v>
      </c>
      <c r="G41" s="36" t="b">
        <f t="shared" si="0"/>
        <v>0</v>
      </c>
      <c r="H41" s="45" t="s">
        <v>806</v>
      </c>
      <c r="J41">
        <v>90</v>
      </c>
      <c r="K41">
        <v>0</v>
      </c>
      <c r="L41">
        <v>66.13</v>
      </c>
      <c r="M41" t="str">
        <f t="shared" si="1"/>
        <v>Match</v>
      </c>
    </row>
    <row r="42" spans="1:13">
      <c r="A42" s="5" t="s">
        <v>314</v>
      </c>
      <c r="B42" s="6" t="s">
        <v>315</v>
      </c>
      <c r="C42" s="6" t="s">
        <v>316</v>
      </c>
      <c r="D42" s="6" t="s">
        <v>298</v>
      </c>
      <c r="E42" s="7" t="s">
        <v>714</v>
      </c>
      <c r="F42" s="10" t="s">
        <v>317</v>
      </c>
      <c r="G42" s="36" t="b">
        <f t="shared" si="0"/>
        <v>1</v>
      </c>
      <c r="J42" t="s">
        <v>825</v>
      </c>
      <c r="K42" t="s">
        <v>825</v>
      </c>
      <c r="L42" t="s">
        <v>825</v>
      </c>
      <c r="M42" t="str">
        <f t="shared" si="1"/>
        <v>No Match</v>
      </c>
    </row>
    <row r="43" spans="1:13">
      <c r="A43" s="5" t="s">
        <v>116</v>
      </c>
      <c r="B43" s="6" t="s">
        <v>117</v>
      </c>
      <c r="C43" s="6" t="s">
        <v>118</v>
      </c>
      <c r="D43" s="6" t="s">
        <v>82</v>
      </c>
      <c r="E43" s="6" t="s">
        <v>664</v>
      </c>
      <c r="F43" s="10" t="s">
        <v>89</v>
      </c>
      <c r="G43" s="36" t="b">
        <f t="shared" si="0"/>
        <v>1</v>
      </c>
      <c r="J43">
        <v>95</v>
      </c>
      <c r="K43" s="47">
        <v>2.0000000000000001E-142</v>
      </c>
      <c r="L43">
        <v>73.040000000000006</v>
      </c>
      <c r="M43" t="str">
        <f t="shared" si="1"/>
        <v>Match</v>
      </c>
    </row>
    <row r="44" spans="1:13">
      <c r="A44" s="5" t="s">
        <v>494</v>
      </c>
      <c r="B44" s="6" t="s">
        <v>495</v>
      </c>
      <c r="C44" s="6" t="s">
        <v>497</v>
      </c>
      <c r="D44" s="6" t="s">
        <v>493</v>
      </c>
      <c r="E44" s="7" t="s">
        <v>496</v>
      </c>
      <c r="F44" s="10" t="s">
        <v>14</v>
      </c>
      <c r="G44" s="36" t="b">
        <f t="shared" si="0"/>
        <v>1</v>
      </c>
      <c r="J44" t="s">
        <v>825</v>
      </c>
      <c r="K44" t="s">
        <v>825</v>
      </c>
      <c r="L44" t="s">
        <v>825</v>
      </c>
      <c r="M44" t="str">
        <f t="shared" si="1"/>
        <v>No Match</v>
      </c>
    </row>
    <row r="45" spans="1:13">
      <c r="A45" s="5" t="s">
        <v>113</v>
      </c>
      <c r="B45" s="6" t="s">
        <v>114</v>
      </c>
      <c r="C45" s="6" t="s">
        <v>115</v>
      </c>
      <c r="D45" s="6" t="s">
        <v>82</v>
      </c>
      <c r="E45" s="6" t="s">
        <v>660</v>
      </c>
      <c r="F45" s="10" t="s">
        <v>89</v>
      </c>
      <c r="G45" s="36" t="b">
        <f t="shared" si="0"/>
        <v>1</v>
      </c>
      <c r="J45">
        <v>89</v>
      </c>
      <c r="K45" s="47">
        <v>9E-130</v>
      </c>
      <c r="L45">
        <v>57.38</v>
      </c>
      <c r="M45" t="str">
        <f t="shared" si="1"/>
        <v>Match</v>
      </c>
    </row>
    <row r="46" spans="1:13">
      <c r="A46" s="5"/>
      <c r="B46" s="12" t="s">
        <v>624</v>
      </c>
      <c r="C46" s="6" t="s">
        <v>625</v>
      </c>
      <c r="D46" s="12" t="s">
        <v>493</v>
      </c>
      <c r="E46" s="6" t="s">
        <v>660</v>
      </c>
      <c r="F46" s="10" t="s">
        <v>89</v>
      </c>
      <c r="G46" s="36" t="b">
        <f t="shared" si="0"/>
        <v>1</v>
      </c>
      <c r="J46">
        <v>99</v>
      </c>
      <c r="K46" s="47">
        <v>4.0000000000000003E-152</v>
      </c>
      <c r="L46">
        <v>36.049999999999997</v>
      </c>
      <c r="M46" t="str">
        <f t="shared" si="1"/>
        <v>No Match</v>
      </c>
    </row>
    <row r="47" spans="1:13">
      <c r="A47" s="5" t="s">
        <v>606</v>
      </c>
      <c r="B47" s="6" t="s">
        <v>607</v>
      </c>
      <c r="C47" s="6" t="s">
        <v>608</v>
      </c>
      <c r="D47" s="6" t="s">
        <v>493</v>
      </c>
      <c r="E47" s="6" t="s">
        <v>660</v>
      </c>
      <c r="F47" s="10" t="s">
        <v>89</v>
      </c>
      <c r="G47" s="36" t="b">
        <f t="shared" si="0"/>
        <v>1</v>
      </c>
      <c r="J47">
        <v>56.000000000000007</v>
      </c>
      <c r="K47" s="47">
        <v>3.9999999999999999E-66</v>
      </c>
      <c r="L47">
        <v>38.979999999999997</v>
      </c>
      <c r="M47" t="str">
        <f t="shared" si="1"/>
        <v>No Match</v>
      </c>
    </row>
    <row r="48" spans="1:13">
      <c r="A48" s="5" t="s">
        <v>127</v>
      </c>
      <c r="B48" s="6" t="s">
        <v>128</v>
      </c>
      <c r="C48" s="6" t="s">
        <v>129</v>
      </c>
      <c r="D48" s="6" t="s">
        <v>82</v>
      </c>
      <c r="E48" s="6" t="s">
        <v>660</v>
      </c>
      <c r="F48" s="10" t="s">
        <v>89</v>
      </c>
      <c r="G48" s="36" t="b">
        <f t="shared" si="0"/>
        <v>1</v>
      </c>
      <c r="J48">
        <v>98</v>
      </c>
      <c r="K48" s="47">
        <v>1E-108</v>
      </c>
      <c r="L48">
        <v>52.66</v>
      </c>
      <c r="M48" t="str">
        <f t="shared" si="1"/>
        <v>Match</v>
      </c>
    </row>
    <row r="49" spans="1:13">
      <c r="A49" s="5" t="s">
        <v>577</v>
      </c>
      <c r="B49" s="6" t="s">
        <v>578</v>
      </c>
      <c r="C49" s="6" t="s">
        <v>579</v>
      </c>
      <c r="D49" s="6" t="s">
        <v>493</v>
      </c>
      <c r="E49" s="6" t="s">
        <v>664</v>
      </c>
      <c r="F49" s="10" t="s">
        <v>89</v>
      </c>
      <c r="G49" s="36" t="b">
        <f t="shared" si="0"/>
        <v>1</v>
      </c>
      <c r="J49">
        <v>93</v>
      </c>
      <c r="K49" s="47">
        <v>5.0000000000000003E-69</v>
      </c>
      <c r="L49">
        <v>40.22</v>
      </c>
      <c r="M49" t="str">
        <f t="shared" si="1"/>
        <v>Match</v>
      </c>
    </row>
    <row r="50" spans="1:13">
      <c r="A50" s="5" t="s">
        <v>507</v>
      </c>
      <c r="B50" s="6" t="s">
        <v>508</v>
      </c>
      <c r="C50" s="6" t="s">
        <v>766</v>
      </c>
      <c r="D50" s="6" t="s">
        <v>493</v>
      </c>
      <c r="E50" s="6" t="s">
        <v>660</v>
      </c>
      <c r="F50" s="10" t="s">
        <v>89</v>
      </c>
      <c r="G50" s="36" t="b">
        <f t="shared" si="0"/>
        <v>1</v>
      </c>
      <c r="J50">
        <v>98</v>
      </c>
      <c r="K50">
        <v>0</v>
      </c>
      <c r="L50">
        <v>51.63</v>
      </c>
      <c r="M50" t="str">
        <f t="shared" si="1"/>
        <v>Match</v>
      </c>
    </row>
    <row r="51" spans="1:13">
      <c r="A51" s="5" t="s">
        <v>162</v>
      </c>
      <c r="B51" s="6" t="s">
        <v>163</v>
      </c>
      <c r="C51" s="6" t="s">
        <v>671</v>
      </c>
      <c r="D51" s="6" t="s">
        <v>155</v>
      </c>
      <c r="E51" s="6" t="s">
        <v>664</v>
      </c>
      <c r="F51" s="10" t="s">
        <v>89</v>
      </c>
      <c r="G51" s="36" t="b">
        <f t="shared" si="0"/>
        <v>1</v>
      </c>
      <c r="J51" t="s">
        <v>825</v>
      </c>
      <c r="K51" t="s">
        <v>825</v>
      </c>
      <c r="L51" t="s">
        <v>825</v>
      </c>
      <c r="M51" t="str">
        <f t="shared" si="1"/>
        <v>No Match</v>
      </c>
    </row>
    <row r="52" spans="1:13">
      <c r="A52" s="14" t="s">
        <v>516</v>
      </c>
      <c r="B52" s="15"/>
      <c r="C52" s="15" t="s">
        <v>517</v>
      </c>
      <c r="D52" s="6" t="s">
        <v>493</v>
      </c>
      <c r="E52" s="12" t="s">
        <v>729</v>
      </c>
      <c r="F52" s="10" t="s">
        <v>23</v>
      </c>
      <c r="G52" s="36" t="b">
        <f t="shared" si="0"/>
        <v>1</v>
      </c>
      <c r="J52">
        <v>96</v>
      </c>
      <c r="K52" s="47">
        <v>2.0000000000000001E-53</v>
      </c>
      <c r="L52">
        <v>49.43</v>
      </c>
      <c r="M52" t="str">
        <f t="shared" si="1"/>
        <v>Match</v>
      </c>
    </row>
    <row r="53" spans="1:13">
      <c r="A53" s="11" t="s">
        <v>586</v>
      </c>
      <c r="B53" s="12" t="s">
        <v>587</v>
      </c>
      <c r="C53" s="6" t="s">
        <v>787</v>
      </c>
      <c r="D53" s="6" t="s">
        <v>493</v>
      </c>
      <c r="E53" s="12" t="s">
        <v>655</v>
      </c>
      <c r="F53" s="10" t="s">
        <v>17</v>
      </c>
      <c r="G53" s="36" t="b">
        <f t="shared" si="0"/>
        <v>1</v>
      </c>
      <c r="J53">
        <v>1</v>
      </c>
      <c r="K53">
        <v>0</v>
      </c>
      <c r="L53">
        <v>72.28</v>
      </c>
      <c r="M53" t="str">
        <f t="shared" si="1"/>
        <v>No Match</v>
      </c>
    </row>
    <row r="54" spans="1:13">
      <c r="A54" s="5"/>
      <c r="B54" s="12" t="s">
        <v>632</v>
      </c>
      <c r="C54" s="6" t="s">
        <v>633</v>
      </c>
      <c r="D54" s="12" t="s">
        <v>493</v>
      </c>
      <c r="E54" s="6" t="s">
        <v>660</v>
      </c>
      <c r="F54" s="10" t="s">
        <v>89</v>
      </c>
      <c r="G54" s="36" t="b">
        <f t="shared" si="0"/>
        <v>1</v>
      </c>
      <c r="J54">
        <v>96</v>
      </c>
      <c r="K54" s="47">
        <v>9.9999999999999999E-133</v>
      </c>
      <c r="L54">
        <v>39.46</v>
      </c>
      <c r="M54" t="str">
        <f t="shared" si="1"/>
        <v>No Match</v>
      </c>
    </row>
    <row r="55" spans="1:13">
      <c r="A55" s="5" t="s">
        <v>156</v>
      </c>
      <c r="B55" s="6" t="s">
        <v>157</v>
      </c>
      <c r="C55" s="6" t="s">
        <v>158</v>
      </c>
      <c r="D55" s="6" t="s">
        <v>155</v>
      </c>
      <c r="E55" s="6" t="s">
        <v>660</v>
      </c>
      <c r="F55" s="10" t="s">
        <v>89</v>
      </c>
      <c r="G55" s="36" t="b">
        <f t="shared" si="0"/>
        <v>1</v>
      </c>
      <c r="J55" t="s">
        <v>825</v>
      </c>
      <c r="K55" t="s">
        <v>825</v>
      </c>
      <c r="L55" t="s">
        <v>825</v>
      </c>
      <c r="M55" t="str">
        <f t="shared" si="1"/>
        <v>No Match</v>
      </c>
    </row>
    <row r="56" spans="1:13">
      <c r="A56" s="5" t="s">
        <v>529</v>
      </c>
      <c r="B56" s="6" t="s">
        <v>530</v>
      </c>
      <c r="C56" s="6" t="s">
        <v>531</v>
      </c>
      <c r="D56" s="6" t="s">
        <v>493</v>
      </c>
      <c r="E56" s="6" t="s">
        <v>664</v>
      </c>
      <c r="F56" s="10" t="s">
        <v>89</v>
      </c>
      <c r="G56" s="36" t="b">
        <f t="shared" si="0"/>
        <v>1</v>
      </c>
      <c r="J56">
        <v>99</v>
      </c>
      <c r="K56" s="47">
        <v>9.9999999999999994E-158</v>
      </c>
      <c r="L56">
        <v>59.21</v>
      </c>
      <c r="M56" t="str">
        <f t="shared" si="1"/>
        <v>Match</v>
      </c>
    </row>
    <row r="57" spans="1:13">
      <c r="A57" s="5" t="s">
        <v>218</v>
      </c>
      <c r="B57" s="6" t="s">
        <v>219</v>
      </c>
      <c r="C57" s="6" t="s">
        <v>220</v>
      </c>
      <c r="D57" s="6" t="s">
        <v>199</v>
      </c>
      <c r="E57" s="12" t="s">
        <v>681</v>
      </c>
      <c r="F57" s="10" t="s">
        <v>210</v>
      </c>
      <c r="G57" s="36" t="b">
        <f t="shared" si="0"/>
        <v>0</v>
      </c>
      <c r="H57" s="45" t="s">
        <v>807</v>
      </c>
      <c r="J57" t="s">
        <v>825</v>
      </c>
      <c r="K57" t="s">
        <v>825</v>
      </c>
      <c r="L57" t="s">
        <v>825</v>
      </c>
      <c r="M57" t="str">
        <f t="shared" si="1"/>
        <v>No Match</v>
      </c>
    </row>
    <row r="58" spans="1:13">
      <c r="A58" s="11" t="s">
        <v>567</v>
      </c>
      <c r="B58" s="12" t="s">
        <v>568</v>
      </c>
      <c r="C58" s="6" t="s">
        <v>785</v>
      </c>
      <c r="D58" s="6" t="s">
        <v>493</v>
      </c>
      <c r="E58" s="12" t="s">
        <v>655</v>
      </c>
      <c r="F58" s="10" t="s">
        <v>14</v>
      </c>
      <c r="G58" s="36" t="b">
        <f t="shared" si="0"/>
        <v>1</v>
      </c>
      <c r="J58" t="s">
        <v>825</v>
      </c>
      <c r="K58" t="s">
        <v>825</v>
      </c>
      <c r="L58" t="s">
        <v>825</v>
      </c>
      <c r="M58" t="str">
        <f t="shared" si="1"/>
        <v>No Match</v>
      </c>
    </row>
    <row r="59" spans="1:13">
      <c r="A59" s="5" t="s">
        <v>100</v>
      </c>
      <c r="B59" s="6" t="s">
        <v>101</v>
      </c>
      <c r="C59" s="6" t="s">
        <v>662</v>
      </c>
      <c r="D59" s="6" t="s">
        <v>82</v>
      </c>
      <c r="E59" s="7" t="s">
        <v>643</v>
      </c>
      <c r="F59" s="10" t="s">
        <v>11</v>
      </c>
      <c r="G59" s="36" t="b">
        <f t="shared" si="0"/>
        <v>1</v>
      </c>
      <c r="J59" t="s">
        <v>825</v>
      </c>
      <c r="K59" t="s">
        <v>825</v>
      </c>
      <c r="L59" t="s">
        <v>825</v>
      </c>
      <c r="M59" t="str">
        <f t="shared" si="1"/>
        <v>No Match</v>
      </c>
    </row>
    <row r="60" spans="1:13">
      <c r="A60" s="5" t="s">
        <v>56</v>
      </c>
      <c r="B60" s="6" t="s">
        <v>57</v>
      </c>
      <c r="C60" s="6" t="s">
        <v>58</v>
      </c>
      <c r="D60" s="12" t="s">
        <v>10</v>
      </c>
      <c r="E60" s="6" t="s">
        <v>647</v>
      </c>
      <c r="F60" s="10" t="s">
        <v>14</v>
      </c>
      <c r="G60" s="36" t="b">
        <f t="shared" si="0"/>
        <v>1</v>
      </c>
      <c r="J60">
        <v>26</v>
      </c>
      <c r="K60" s="47">
        <v>1.0000000000000001E-15</v>
      </c>
      <c r="L60">
        <v>40.159999999999997</v>
      </c>
      <c r="M60" t="str">
        <f t="shared" si="1"/>
        <v>No Match</v>
      </c>
    </row>
    <row r="61" spans="1:13">
      <c r="A61" s="5" t="s">
        <v>43</v>
      </c>
      <c r="B61" s="6"/>
      <c r="C61" s="15" t="s">
        <v>44</v>
      </c>
      <c r="D61" s="6" t="s">
        <v>10</v>
      </c>
      <c r="E61" s="6" t="s">
        <v>647</v>
      </c>
      <c r="F61" s="10" t="s">
        <v>14</v>
      </c>
      <c r="G61" s="36" t="b">
        <f t="shared" si="0"/>
        <v>0</v>
      </c>
      <c r="H61" s="45" t="s">
        <v>808</v>
      </c>
      <c r="J61" t="s">
        <v>825</v>
      </c>
      <c r="K61" t="s">
        <v>825</v>
      </c>
      <c r="L61" t="s">
        <v>825</v>
      </c>
      <c r="M61" t="str">
        <f t="shared" si="1"/>
        <v>No Match</v>
      </c>
    </row>
    <row r="62" spans="1:13">
      <c r="A62" s="5" t="s">
        <v>410</v>
      </c>
      <c r="B62" s="6" t="s">
        <v>411</v>
      </c>
      <c r="C62" s="6" t="s">
        <v>412</v>
      </c>
      <c r="D62" s="6" t="s">
        <v>400</v>
      </c>
      <c r="E62" s="6" t="s">
        <v>744</v>
      </c>
      <c r="F62" s="10" t="s">
        <v>283</v>
      </c>
      <c r="G62" s="36" t="b">
        <f t="shared" si="0"/>
        <v>1</v>
      </c>
      <c r="J62">
        <v>92</v>
      </c>
      <c r="K62" s="47">
        <v>2E-16</v>
      </c>
      <c r="L62">
        <v>22.77</v>
      </c>
      <c r="M62" t="str">
        <f t="shared" si="1"/>
        <v>No Match</v>
      </c>
    </row>
    <row r="63" spans="1:13">
      <c r="A63" s="5" t="s">
        <v>124</v>
      </c>
      <c r="B63" s="6" t="s">
        <v>125</v>
      </c>
      <c r="C63" s="6" t="s">
        <v>126</v>
      </c>
      <c r="D63" s="6" t="s">
        <v>82</v>
      </c>
      <c r="E63" s="6" t="s">
        <v>664</v>
      </c>
      <c r="F63" s="10" t="s">
        <v>89</v>
      </c>
      <c r="G63" s="36" t="b">
        <f t="shared" si="0"/>
        <v>1</v>
      </c>
      <c r="J63" t="s">
        <v>825</v>
      </c>
      <c r="K63" t="s">
        <v>825</v>
      </c>
      <c r="L63" t="s">
        <v>825</v>
      </c>
      <c r="M63" t="str">
        <f t="shared" si="1"/>
        <v>No Match</v>
      </c>
    </row>
    <row r="64" spans="1:13">
      <c r="A64" s="14" t="s">
        <v>580</v>
      </c>
      <c r="B64" s="15" t="s">
        <v>581</v>
      </c>
      <c r="C64" s="6" t="s">
        <v>582</v>
      </c>
      <c r="D64" s="6" t="s">
        <v>493</v>
      </c>
      <c r="E64" s="12" t="s">
        <v>729</v>
      </c>
      <c r="F64" s="10" t="s">
        <v>23</v>
      </c>
      <c r="G64" s="36" t="b">
        <f t="shared" si="0"/>
        <v>1</v>
      </c>
      <c r="J64">
        <v>22</v>
      </c>
      <c r="K64">
        <v>1.7000000000000001E-2</v>
      </c>
      <c r="L64">
        <v>41.67</v>
      </c>
      <c r="M64" t="str">
        <f t="shared" si="1"/>
        <v>No Match</v>
      </c>
    </row>
    <row r="65" spans="1:13">
      <c r="A65" s="14" t="s">
        <v>520</v>
      </c>
      <c r="B65" s="15"/>
      <c r="C65" s="6" t="s">
        <v>771</v>
      </c>
      <c r="D65" s="6" t="s">
        <v>493</v>
      </c>
      <c r="E65" s="12" t="s">
        <v>729</v>
      </c>
      <c r="F65" s="10" t="s">
        <v>23</v>
      </c>
      <c r="G65" s="36" t="b">
        <f t="shared" si="0"/>
        <v>1</v>
      </c>
      <c r="J65">
        <v>99</v>
      </c>
      <c r="K65" s="47">
        <v>3E-152</v>
      </c>
      <c r="L65">
        <v>54.72</v>
      </c>
      <c r="M65" t="str">
        <f t="shared" si="1"/>
        <v>Match</v>
      </c>
    </row>
    <row r="66" spans="1:13">
      <c r="A66" s="5" t="s">
        <v>51</v>
      </c>
      <c r="B66" s="6" t="s">
        <v>52</v>
      </c>
      <c r="C66" s="6" t="s">
        <v>53</v>
      </c>
      <c r="D66" s="6" t="s">
        <v>10</v>
      </c>
      <c r="E66" s="7" t="s">
        <v>639</v>
      </c>
      <c r="F66" s="10" t="s">
        <v>11</v>
      </c>
      <c r="G66" s="36" t="b">
        <f t="shared" si="0"/>
        <v>1</v>
      </c>
      <c r="J66">
        <v>99</v>
      </c>
      <c r="K66">
        <v>0</v>
      </c>
      <c r="L66">
        <v>68.58</v>
      </c>
      <c r="M66" t="str">
        <f t="shared" si="1"/>
        <v>Match</v>
      </c>
    </row>
    <row r="67" spans="1:13">
      <c r="A67" s="14" t="s">
        <v>95</v>
      </c>
      <c r="B67" s="15" t="s">
        <v>96</v>
      </c>
      <c r="C67" s="6" t="s">
        <v>97</v>
      </c>
      <c r="D67" s="6" t="s">
        <v>82</v>
      </c>
      <c r="E67" s="12"/>
      <c r="F67" s="10" t="s">
        <v>23</v>
      </c>
      <c r="G67" s="36" t="b">
        <f t="shared" ref="G67:G130" si="2">RIGHT(TRIM(C67),2)=".1"</f>
        <v>1</v>
      </c>
      <c r="J67">
        <v>62</v>
      </c>
      <c r="K67" s="47">
        <v>9.9999999999999994E-12</v>
      </c>
      <c r="L67">
        <v>25.3</v>
      </c>
      <c r="M67" t="str">
        <f t="shared" ref="M67:M130" si="3">IF(AND(ISNUMBER(L67),L67&gt;=40,ISNUMBER(J67),J67&gt;=70),"Match","No Match")</f>
        <v>No Match</v>
      </c>
    </row>
    <row r="68" spans="1:13">
      <c r="A68" s="5" t="s">
        <v>200</v>
      </c>
      <c r="B68" s="6" t="s">
        <v>201</v>
      </c>
      <c r="C68" s="6" t="s">
        <v>202</v>
      </c>
      <c r="D68" s="6" t="s">
        <v>199</v>
      </c>
      <c r="E68" s="7" t="s">
        <v>639</v>
      </c>
      <c r="F68" s="10" t="s">
        <v>11</v>
      </c>
      <c r="G68" s="36" t="b">
        <f t="shared" si="2"/>
        <v>1</v>
      </c>
      <c r="J68">
        <v>96</v>
      </c>
      <c r="K68" s="47">
        <v>3.9999999999999998E-20</v>
      </c>
      <c r="L68">
        <v>27.08</v>
      </c>
      <c r="M68" t="str">
        <f t="shared" si="3"/>
        <v>No Match</v>
      </c>
    </row>
    <row r="69" spans="1:13">
      <c r="A69" s="5" t="s">
        <v>221</v>
      </c>
      <c r="B69" s="6" t="s">
        <v>222</v>
      </c>
      <c r="C69" s="15" t="s">
        <v>223</v>
      </c>
      <c r="D69" s="6" t="s">
        <v>199</v>
      </c>
      <c r="E69" s="7" t="s">
        <v>639</v>
      </c>
      <c r="F69" s="10" t="s">
        <v>11</v>
      </c>
      <c r="G69" s="36" t="b">
        <f t="shared" si="2"/>
        <v>1</v>
      </c>
      <c r="J69">
        <v>98</v>
      </c>
      <c r="K69" s="47">
        <v>3.9999999999999999E-16</v>
      </c>
      <c r="L69">
        <v>29.82</v>
      </c>
      <c r="M69" t="str">
        <f t="shared" si="3"/>
        <v>No Match</v>
      </c>
    </row>
    <row r="70" spans="1:13">
      <c r="A70" s="5" t="s">
        <v>311</v>
      </c>
      <c r="B70" s="6" t="s">
        <v>312</v>
      </c>
      <c r="C70" s="6" t="s">
        <v>313</v>
      </c>
      <c r="D70" s="6" t="s">
        <v>298</v>
      </c>
      <c r="E70" s="7" t="s">
        <v>639</v>
      </c>
      <c r="F70" s="10" t="s">
        <v>11</v>
      </c>
      <c r="G70" s="36" t="b">
        <f t="shared" si="2"/>
        <v>1</v>
      </c>
      <c r="J70" t="s">
        <v>825</v>
      </c>
      <c r="K70" t="s">
        <v>825</v>
      </c>
      <c r="L70" t="s">
        <v>825</v>
      </c>
      <c r="M70" t="str">
        <f t="shared" si="3"/>
        <v>No Match</v>
      </c>
    </row>
    <row r="71" spans="1:13">
      <c r="A71" s="5" t="s">
        <v>241</v>
      </c>
      <c r="B71" s="12" t="s">
        <v>242</v>
      </c>
      <c r="C71" s="6" t="s">
        <v>687</v>
      </c>
      <c r="D71" s="12" t="s">
        <v>239</v>
      </c>
      <c r="E71" s="7"/>
      <c r="F71" s="10" t="s">
        <v>14</v>
      </c>
      <c r="G71" s="36" t="b">
        <f t="shared" si="2"/>
        <v>1</v>
      </c>
      <c r="J71">
        <v>97</v>
      </c>
      <c r="K71" s="47">
        <v>2.0000000000000001E-27</v>
      </c>
      <c r="L71">
        <v>28.07</v>
      </c>
      <c r="M71" t="str">
        <f t="shared" si="3"/>
        <v>No Match</v>
      </c>
    </row>
    <row r="72" spans="1:13">
      <c r="A72" s="5" t="s">
        <v>301</v>
      </c>
      <c r="B72" s="6"/>
      <c r="C72" s="15" t="s">
        <v>302</v>
      </c>
      <c r="D72" s="6" t="s">
        <v>298</v>
      </c>
      <c r="E72" s="6"/>
      <c r="F72" s="10" t="s">
        <v>240</v>
      </c>
      <c r="G72" s="36" t="b">
        <f t="shared" si="2"/>
        <v>0</v>
      </c>
      <c r="H72" s="45" t="s">
        <v>809</v>
      </c>
      <c r="I72" t="s">
        <v>805</v>
      </c>
      <c r="J72">
        <v>53</v>
      </c>
      <c r="K72" s="47">
        <v>1.0000000000000001E-30</v>
      </c>
      <c r="L72">
        <v>32.22</v>
      </c>
      <c r="M72" t="str">
        <f t="shared" si="3"/>
        <v>No Match</v>
      </c>
    </row>
    <row r="73" spans="1:13">
      <c r="A73" s="5" t="s">
        <v>169</v>
      </c>
      <c r="B73" s="6" t="s">
        <v>170</v>
      </c>
      <c r="C73" s="6" t="s">
        <v>171</v>
      </c>
      <c r="D73" s="6" t="s">
        <v>155</v>
      </c>
      <c r="E73" s="6" t="s">
        <v>660</v>
      </c>
      <c r="F73" s="10" t="s">
        <v>89</v>
      </c>
      <c r="G73" s="36" t="b">
        <f t="shared" si="2"/>
        <v>1</v>
      </c>
      <c r="J73" t="s">
        <v>825</v>
      </c>
      <c r="K73" t="s">
        <v>825</v>
      </c>
      <c r="L73" t="s">
        <v>825</v>
      </c>
      <c r="M73" t="str">
        <f t="shared" si="3"/>
        <v>No Match</v>
      </c>
    </row>
    <row r="74" spans="1:13">
      <c r="A74" s="5" t="s">
        <v>92</v>
      </c>
      <c r="B74" s="6" t="s">
        <v>93</v>
      </c>
      <c r="C74" s="6" t="s">
        <v>94</v>
      </c>
      <c r="D74" s="6" t="s">
        <v>82</v>
      </c>
      <c r="E74" s="6" t="s">
        <v>660</v>
      </c>
      <c r="F74" s="10" t="s">
        <v>89</v>
      </c>
      <c r="G74" s="36" t="b">
        <f t="shared" si="2"/>
        <v>1</v>
      </c>
      <c r="J74" t="s">
        <v>825</v>
      </c>
      <c r="K74" t="s">
        <v>825</v>
      </c>
      <c r="L74" t="s">
        <v>825</v>
      </c>
      <c r="M74" t="str">
        <f t="shared" si="3"/>
        <v>No Match</v>
      </c>
    </row>
    <row r="75" spans="1:13">
      <c r="A75" s="5" t="s">
        <v>417</v>
      </c>
      <c r="B75" s="6" t="s">
        <v>418</v>
      </c>
      <c r="C75" s="6" t="s">
        <v>746</v>
      </c>
      <c r="D75" s="12" t="s">
        <v>400</v>
      </c>
      <c r="E75" s="6" t="s">
        <v>745</v>
      </c>
      <c r="F75" s="10" t="s">
        <v>416</v>
      </c>
      <c r="G75" s="36" t="b">
        <f t="shared" si="2"/>
        <v>1</v>
      </c>
      <c r="J75" t="s">
        <v>825</v>
      </c>
      <c r="K75" t="s">
        <v>825</v>
      </c>
      <c r="L75" t="s">
        <v>825</v>
      </c>
      <c r="M75" t="str">
        <f t="shared" si="3"/>
        <v>No Match</v>
      </c>
    </row>
    <row r="76" spans="1:13">
      <c r="A76" s="5" t="s">
        <v>27</v>
      </c>
      <c r="B76" s="6" t="s">
        <v>28</v>
      </c>
      <c r="C76" s="6" t="s">
        <v>29</v>
      </c>
      <c r="D76" s="6" t="s">
        <v>10</v>
      </c>
      <c r="E76" s="6" t="s">
        <v>635</v>
      </c>
      <c r="F76" s="10" t="s">
        <v>14</v>
      </c>
      <c r="G76" s="36" t="b">
        <f t="shared" si="2"/>
        <v>1</v>
      </c>
      <c r="J76" t="s">
        <v>825</v>
      </c>
      <c r="K76" t="s">
        <v>825</v>
      </c>
      <c r="L76" t="s">
        <v>825</v>
      </c>
      <c r="M76" t="str">
        <f t="shared" si="3"/>
        <v>No Match</v>
      </c>
    </row>
    <row r="77" spans="1:13">
      <c r="A77" s="5"/>
      <c r="B77" s="6" t="s">
        <v>474</v>
      </c>
      <c r="C77" s="6" t="s">
        <v>475</v>
      </c>
      <c r="D77" s="6" t="s">
        <v>427</v>
      </c>
      <c r="E77" s="6" t="s">
        <v>749</v>
      </c>
      <c r="F77" s="10" t="s">
        <v>240</v>
      </c>
      <c r="G77" s="36" t="b">
        <f t="shared" si="2"/>
        <v>1</v>
      </c>
      <c r="J77">
        <v>99</v>
      </c>
      <c r="K77" s="47">
        <v>8E-73</v>
      </c>
      <c r="L77">
        <v>35.5</v>
      </c>
      <c r="M77" t="str">
        <f t="shared" si="3"/>
        <v>No Match</v>
      </c>
    </row>
    <row r="78" spans="1:13">
      <c r="A78" s="5" t="s">
        <v>428</v>
      </c>
      <c r="B78" s="6" t="s">
        <v>429</v>
      </c>
      <c r="C78" s="6" t="s">
        <v>750</v>
      </c>
      <c r="D78" s="6" t="s">
        <v>427</v>
      </c>
      <c r="E78" s="6" t="s">
        <v>749</v>
      </c>
      <c r="F78" s="10" t="s">
        <v>240</v>
      </c>
      <c r="G78" s="36" t="b">
        <f t="shared" si="2"/>
        <v>1</v>
      </c>
      <c r="J78">
        <v>89</v>
      </c>
      <c r="K78" s="47">
        <v>3E-152</v>
      </c>
      <c r="L78">
        <v>52.58</v>
      </c>
      <c r="M78" t="str">
        <f t="shared" si="3"/>
        <v>Match</v>
      </c>
    </row>
    <row r="79" spans="1:13">
      <c r="A79" s="5" t="s">
        <v>90</v>
      </c>
      <c r="B79" s="6" t="s">
        <v>91</v>
      </c>
      <c r="C79" s="6" t="s">
        <v>661</v>
      </c>
      <c r="D79" s="6" t="s">
        <v>82</v>
      </c>
      <c r="E79" s="6" t="s">
        <v>660</v>
      </c>
      <c r="F79" s="10" t="s">
        <v>89</v>
      </c>
      <c r="G79" s="36" t="b">
        <f t="shared" si="2"/>
        <v>1</v>
      </c>
      <c r="J79" t="s">
        <v>825</v>
      </c>
      <c r="K79" t="s">
        <v>825</v>
      </c>
      <c r="L79" t="s">
        <v>825</v>
      </c>
      <c r="M79" t="str">
        <f t="shared" si="3"/>
        <v>No Match</v>
      </c>
    </row>
    <row r="80" spans="1:13">
      <c r="A80" s="5" t="s">
        <v>7</v>
      </c>
      <c r="B80" s="6" t="s">
        <v>8</v>
      </c>
      <c r="C80" s="6" t="s">
        <v>9</v>
      </c>
      <c r="D80" s="6" t="s">
        <v>10</v>
      </c>
      <c r="E80" s="7" t="s">
        <v>634</v>
      </c>
      <c r="F80" s="10" t="s">
        <v>11</v>
      </c>
      <c r="G80" s="36" t="b">
        <f t="shared" si="2"/>
        <v>1</v>
      </c>
      <c r="J80">
        <v>99</v>
      </c>
      <c r="K80" s="47">
        <v>6.0000000000000003E-92</v>
      </c>
      <c r="L80">
        <v>50.64</v>
      </c>
      <c r="M80" t="str">
        <f t="shared" si="3"/>
        <v>Match</v>
      </c>
    </row>
    <row r="81" spans="1:13">
      <c r="A81" s="5" t="s">
        <v>598</v>
      </c>
      <c r="B81" s="6"/>
      <c r="C81" s="15" t="s">
        <v>599</v>
      </c>
      <c r="D81" s="6" t="s">
        <v>493</v>
      </c>
      <c r="E81" s="7"/>
      <c r="F81" s="10" t="s">
        <v>240</v>
      </c>
      <c r="G81" s="36" t="b">
        <f t="shared" si="2"/>
        <v>1</v>
      </c>
      <c r="J81">
        <v>79</v>
      </c>
      <c r="K81" s="47">
        <v>3.9999999999999997E-76</v>
      </c>
      <c r="L81">
        <v>39.53</v>
      </c>
      <c r="M81" t="str">
        <f t="shared" si="3"/>
        <v>No Match</v>
      </c>
    </row>
    <row r="82" spans="1:13">
      <c r="A82" s="5" t="s">
        <v>498</v>
      </c>
      <c r="B82" s="6" t="s">
        <v>499</v>
      </c>
      <c r="C82" s="15" t="s">
        <v>500</v>
      </c>
      <c r="D82" s="6" t="s">
        <v>493</v>
      </c>
      <c r="E82" s="6" t="s">
        <v>491</v>
      </c>
      <c r="F82" s="10" t="s">
        <v>14</v>
      </c>
      <c r="G82" s="36" t="b">
        <f t="shared" si="2"/>
        <v>0</v>
      </c>
      <c r="H82" s="46" t="s">
        <v>816</v>
      </c>
      <c r="J82" t="s">
        <v>825</v>
      </c>
      <c r="K82" t="s">
        <v>825</v>
      </c>
      <c r="L82" t="s">
        <v>825</v>
      </c>
      <c r="M82" t="str">
        <f t="shared" si="3"/>
        <v>No Match</v>
      </c>
    </row>
    <row r="83" spans="1:13">
      <c r="A83" s="5" t="s">
        <v>137</v>
      </c>
      <c r="B83" s="6" t="s">
        <v>138</v>
      </c>
      <c r="C83" s="6" t="s">
        <v>139</v>
      </c>
      <c r="D83" s="6" t="s">
        <v>82</v>
      </c>
      <c r="E83" s="6" t="s">
        <v>668</v>
      </c>
      <c r="F83" s="10" t="s">
        <v>14</v>
      </c>
      <c r="G83" s="36" t="b">
        <f t="shared" si="2"/>
        <v>1</v>
      </c>
      <c r="H83" s="42" t="s">
        <v>810</v>
      </c>
      <c r="J83">
        <v>97</v>
      </c>
      <c r="K83" s="47">
        <v>6.0000000000000003E-73</v>
      </c>
      <c r="L83">
        <v>48.75</v>
      </c>
      <c r="M83" t="str">
        <f t="shared" si="3"/>
        <v>Match</v>
      </c>
    </row>
    <row r="84" spans="1:13">
      <c r="A84" s="5" t="s">
        <v>511</v>
      </c>
      <c r="B84" s="6" t="s">
        <v>512</v>
      </c>
      <c r="C84" s="6" t="s">
        <v>513</v>
      </c>
      <c r="D84" s="6" t="s">
        <v>493</v>
      </c>
      <c r="E84" s="6" t="s">
        <v>664</v>
      </c>
      <c r="F84" s="10" t="s">
        <v>89</v>
      </c>
      <c r="G84" s="36" t="b">
        <f t="shared" si="2"/>
        <v>1</v>
      </c>
      <c r="H84" s="42" t="s">
        <v>811</v>
      </c>
      <c r="J84">
        <v>89</v>
      </c>
      <c r="K84">
        <v>0</v>
      </c>
      <c r="L84">
        <v>49.21</v>
      </c>
      <c r="M84" t="str">
        <f t="shared" si="3"/>
        <v>Match</v>
      </c>
    </row>
    <row r="85" spans="1:13">
      <c r="A85" s="11" t="s">
        <v>422</v>
      </c>
      <c r="B85" s="12" t="s">
        <v>423</v>
      </c>
      <c r="C85" s="6" t="s">
        <v>424</v>
      </c>
      <c r="D85" s="12" t="s">
        <v>400</v>
      </c>
      <c r="E85" s="19" t="s">
        <v>694</v>
      </c>
      <c r="F85" s="16" t="s">
        <v>260</v>
      </c>
      <c r="G85" s="36" t="b">
        <f t="shared" si="2"/>
        <v>1</v>
      </c>
      <c r="H85" s="42" t="s">
        <v>812</v>
      </c>
      <c r="J85">
        <v>95</v>
      </c>
      <c r="K85" s="47">
        <v>3.0000000000000002E-55</v>
      </c>
      <c r="L85">
        <v>34.19</v>
      </c>
      <c r="M85" t="str">
        <f t="shared" si="3"/>
        <v>No Match</v>
      </c>
    </row>
    <row r="86" spans="1:13">
      <c r="A86" s="11" t="s">
        <v>419</v>
      </c>
      <c r="B86" s="12" t="s">
        <v>420</v>
      </c>
      <c r="C86" s="6" t="s">
        <v>421</v>
      </c>
      <c r="D86" s="12" t="s">
        <v>400</v>
      </c>
      <c r="E86" s="19" t="s">
        <v>694</v>
      </c>
      <c r="F86" s="10" t="s">
        <v>260</v>
      </c>
      <c r="G86" s="36" t="b">
        <f t="shared" si="2"/>
        <v>1</v>
      </c>
      <c r="H86" s="42" t="s">
        <v>813</v>
      </c>
      <c r="J86" t="s">
        <v>825</v>
      </c>
      <c r="K86" t="s">
        <v>825</v>
      </c>
      <c r="L86" t="s">
        <v>825</v>
      </c>
      <c r="M86" t="str">
        <f t="shared" si="3"/>
        <v>No Match</v>
      </c>
    </row>
    <row r="87" spans="1:13">
      <c r="A87" s="5" t="s">
        <v>254</v>
      </c>
      <c r="B87" s="6" t="s">
        <v>255</v>
      </c>
      <c r="C87" s="6" t="s">
        <v>256</v>
      </c>
      <c r="D87" s="6" t="s">
        <v>239</v>
      </c>
      <c r="E87" s="6" t="s">
        <v>693</v>
      </c>
      <c r="F87" s="10" t="s">
        <v>240</v>
      </c>
      <c r="G87" s="36" t="b">
        <f t="shared" si="2"/>
        <v>1</v>
      </c>
      <c r="H87" s="42" t="s">
        <v>814</v>
      </c>
      <c r="J87" t="s">
        <v>825</v>
      </c>
      <c r="K87" t="s">
        <v>825</v>
      </c>
      <c r="L87" t="s">
        <v>825</v>
      </c>
      <c r="M87" t="str">
        <f t="shared" si="3"/>
        <v>No Match</v>
      </c>
    </row>
    <row r="88" spans="1:13">
      <c r="A88" s="5" t="s">
        <v>121</v>
      </c>
      <c r="B88" s="6" t="s">
        <v>122</v>
      </c>
      <c r="C88" s="6" t="s">
        <v>123</v>
      </c>
      <c r="D88" s="6" t="s">
        <v>82</v>
      </c>
      <c r="E88" s="6" t="s">
        <v>660</v>
      </c>
      <c r="F88" s="10" t="s">
        <v>89</v>
      </c>
      <c r="G88" s="36" t="b">
        <f t="shared" si="2"/>
        <v>1</v>
      </c>
      <c r="H88" s="42" t="s">
        <v>815</v>
      </c>
      <c r="J88">
        <v>98</v>
      </c>
      <c r="K88">
        <v>0</v>
      </c>
      <c r="L88">
        <v>59.87</v>
      </c>
      <c r="M88" t="str">
        <f t="shared" si="3"/>
        <v>Match</v>
      </c>
    </row>
    <row r="89" spans="1:13">
      <c r="A89" s="5" t="s">
        <v>489</v>
      </c>
      <c r="B89" s="6" t="s">
        <v>490</v>
      </c>
      <c r="C89" s="6" t="s">
        <v>492</v>
      </c>
      <c r="D89" s="6" t="s">
        <v>493</v>
      </c>
      <c r="E89" s="6" t="s">
        <v>491</v>
      </c>
      <c r="F89" s="10" t="s">
        <v>14</v>
      </c>
      <c r="G89" s="36" t="b">
        <f t="shared" si="2"/>
        <v>0</v>
      </c>
      <c r="H89" s="45" t="s">
        <v>817</v>
      </c>
      <c r="J89" t="s">
        <v>825</v>
      </c>
      <c r="K89" t="s">
        <v>825</v>
      </c>
      <c r="L89" t="s">
        <v>825</v>
      </c>
      <c r="M89" t="str">
        <f t="shared" si="3"/>
        <v>No Match</v>
      </c>
    </row>
    <row r="90" spans="1:13">
      <c r="A90" s="5" t="s">
        <v>413</v>
      </c>
      <c r="B90" s="6" t="s">
        <v>414</v>
      </c>
      <c r="C90" s="15" t="s">
        <v>415</v>
      </c>
      <c r="D90" s="12" t="s">
        <v>400</v>
      </c>
      <c r="E90" s="6" t="s">
        <v>745</v>
      </c>
      <c r="F90" s="10" t="s">
        <v>416</v>
      </c>
      <c r="G90" s="36" t="b">
        <f t="shared" si="2"/>
        <v>0</v>
      </c>
      <c r="H90" s="45" t="s">
        <v>818</v>
      </c>
      <c r="J90">
        <v>59</v>
      </c>
      <c r="K90" s="47">
        <v>1E-54</v>
      </c>
      <c r="L90">
        <v>39.590000000000003</v>
      </c>
      <c r="M90" t="str">
        <f t="shared" si="3"/>
        <v>No Match</v>
      </c>
    </row>
    <row r="91" spans="1:13">
      <c r="A91" s="5" t="s">
        <v>501</v>
      </c>
      <c r="B91" s="6" t="s">
        <v>502</v>
      </c>
      <c r="C91" s="6" t="s">
        <v>762</v>
      </c>
      <c r="D91" s="6" t="s">
        <v>493</v>
      </c>
      <c r="E91" s="6" t="s">
        <v>491</v>
      </c>
      <c r="F91" s="10" t="s">
        <v>14</v>
      </c>
      <c r="G91" s="36" t="b">
        <f t="shared" si="2"/>
        <v>1</v>
      </c>
      <c r="J91" t="s">
        <v>825</v>
      </c>
      <c r="K91" t="s">
        <v>825</v>
      </c>
      <c r="L91" t="s">
        <v>825</v>
      </c>
      <c r="M91" t="str">
        <f t="shared" si="3"/>
        <v>No Match</v>
      </c>
    </row>
    <row r="92" spans="1:13">
      <c r="A92" s="14" t="s">
        <v>548</v>
      </c>
      <c r="B92" s="15" t="s">
        <v>549</v>
      </c>
      <c r="C92" s="6" t="s">
        <v>550</v>
      </c>
      <c r="D92" s="6" t="s">
        <v>493</v>
      </c>
      <c r="E92" s="12" t="s">
        <v>729</v>
      </c>
      <c r="F92" s="10" t="s">
        <v>23</v>
      </c>
      <c r="G92" s="36" t="b">
        <f t="shared" si="2"/>
        <v>1</v>
      </c>
      <c r="J92">
        <v>96</v>
      </c>
      <c r="K92">
        <v>0</v>
      </c>
      <c r="L92">
        <v>68.38</v>
      </c>
      <c r="M92" t="str">
        <f t="shared" si="3"/>
        <v>Match</v>
      </c>
    </row>
    <row r="93" spans="1:13">
      <c r="A93" s="14" t="s">
        <v>609</v>
      </c>
      <c r="B93" s="15" t="s">
        <v>610</v>
      </c>
      <c r="C93" s="6" t="s">
        <v>611</v>
      </c>
      <c r="D93" s="6" t="s">
        <v>493</v>
      </c>
      <c r="E93" s="12" t="s">
        <v>729</v>
      </c>
      <c r="F93" s="10" t="s">
        <v>23</v>
      </c>
      <c r="G93" s="36" t="b">
        <f t="shared" si="2"/>
        <v>1</v>
      </c>
      <c r="J93">
        <v>67</v>
      </c>
      <c r="K93" s="47">
        <v>7.9999999999999998E-12</v>
      </c>
      <c r="L93">
        <v>26.95</v>
      </c>
      <c r="M93" t="str">
        <f t="shared" si="3"/>
        <v>No Match</v>
      </c>
    </row>
    <row r="94" spans="1:13">
      <c r="A94" s="5" t="s">
        <v>560</v>
      </c>
      <c r="B94" s="6"/>
      <c r="C94" s="6" t="s">
        <v>561</v>
      </c>
      <c r="D94" s="6" t="s">
        <v>493</v>
      </c>
      <c r="E94" s="7"/>
      <c r="F94" s="10" t="s">
        <v>240</v>
      </c>
      <c r="G94" s="36" t="b">
        <f t="shared" si="2"/>
        <v>1</v>
      </c>
      <c r="J94" t="s">
        <v>825</v>
      </c>
      <c r="K94" t="s">
        <v>825</v>
      </c>
      <c r="L94" t="s">
        <v>825</v>
      </c>
      <c r="M94" t="str">
        <f t="shared" si="3"/>
        <v>No Match</v>
      </c>
    </row>
    <row r="95" spans="1:13">
      <c r="A95" s="5" t="s">
        <v>98</v>
      </c>
      <c r="B95" s="6"/>
      <c r="C95" s="15" t="s">
        <v>99</v>
      </c>
      <c r="D95" s="6" t="s">
        <v>82</v>
      </c>
      <c r="E95" s="6" t="s">
        <v>80</v>
      </c>
      <c r="F95" s="10" t="s">
        <v>83</v>
      </c>
      <c r="G95" s="36" t="b">
        <f t="shared" si="2"/>
        <v>1</v>
      </c>
      <c r="J95">
        <v>57.999999999999993</v>
      </c>
      <c r="K95" s="47">
        <v>1.0000000000000001E-5</v>
      </c>
      <c r="L95">
        <v>23.91</v>
      </c>
      <c r="M95" t="str">
        <f t="shared" si="3"/>
        <v>No Match</v>
      </c>
    </row>
    <row r="96" spans="1:13">
      <c r="A96" s="35"/>
      <c r="B96" s="15" t="s">
        <v>620</v>
      </c>
      <c r="C96" s="6" t="s">
        <v>621</v>
      </c>
      <c r="D96" s="6" t="s">
        <v>493</v>
      </c>
      <c r="E96" s="12" t="s">
        <v>640</v>
      </c>
      <c r="F96" s="10" t="s">
        <v>23</v>
      </c>
      <c r="G96" s="36" t="b">
        <f t="shared" si="2"/>
        <v>1</v>
      </c>
      <c r="J96" t="s">
        <v>825</v>
      </c>
      <c r="K96" t="s">
        <v>825</v>
      </c>
      <c r="L96" t="s">
        <v>825</v>
      </c>
      <c r="M96" t="str">
        <f t="shared" si="3"/>
        <v>No Match</v>
      </c>
    </row>
    <row r="97" spans="1:13">
      <c r="A97" s="14" t="s">
        <v>617</v>
      </c>
      <c r="B97" s="15" t="s">
        <v>618</v>
      </c>
      <c r="C97" s="6" t="s">
        <v>619</v>
      </c>
      <c r="D97" s="6" t="s">
        <v>493</v>
      </c>
      <c r="E97" s="12" t="s">
        <v>729</v>
      </c>
      <c r="F97" s="10" t="s">
        <v>23</v>
      </c>
      <c r="G97" s="36" t="b">
        <f t="shared" si="2"/>
        <v>1</v>
      </c>
      <c r="J97" t="s">
        <v>825</v>
      </c>
      <c r="K97" t="s">
        <v>825</v>
      </c>
      <c r="L97" t="s">
        <v>825</v>
      </c>
      <c r="M97" t="str">
        <f t="shared" si="3"/>
        <v>No Match</v>
      </c>
    </row>
    <row r="98" spans="1:13">
      <c r="A98" s="5" t="s">
        <v>153</v>
      </c>
      <c r="B98" s="6" t="s">
        <v>154</v>
      </c>
      <c r="C98" s="6" t="s">
        <v>670</v>
      </c>
      <c r="D98" s="6" t="s">
        <v>155</v>
      </c>
      <c r="E98" s="6" t="s">
        <v>660</v>
      </c>
      <c r="F98" s="10" t="s">
        <v>89</v>
      </c>
      <c r="G98" s="36" t="b">
        <f t="shared" si="2"/>
        <v>1</v>
      </c>
      <c r="J98">
        <v>56.000000000000007</v>
      </c>
      <c r="K98" s="47">
        <v>2.9999999999999999E-7</v>
      </c>
      <c r="L98">
        <v>24.87</v>
      </c>
      <c r="M98" t="str">
        <f t="shared" si="3"/>
        <v>No Match</v>
      </c>
    </row>
    <row r="99" spans="1:13">
      <c r="A99" s="11" t="s">
        <v>403</v>
      </c>
      <c r="B99" s="12" t="s">
        <v>404</v>
      </c>
      <c r="C99" s="6" t="s">
        <v>405</v>
      </c>
      <c r="D99" s="12" t="s">
        <v>400</v>
      </c>
      <c r="E99" s="19" t="s">
        <v>694</v>
      </c>
      <c r="F99" s="10" t="s">
        <v>260</v>
      </c>
      <c r="G99" s="36" t="b">
        <f t="shared" si="2"/>
        <v>1</v>
      </c>
      <c r="J99" t="s">
        <v>825</v>
      </c>
      <c r="K99" t="s">
        <v>825</v>
      </c>
      <c r="L99" t="s">
        <v>825</v>
      </c>
      <c r="M99" t="str">
        <f t="shared" si="3"/>
        <v>No Match</v>
      </c>
    </row>
    <row r="100" spans="1:13">
      <c r="A100" s="11" t="s">
        <v>291</v>
      </c>
      <c r="B100" s="12" t="s">
        <v>289</v>
      </c>
      <c r="C100" s="6" t="s">
        <v>708</v>
      </c>
      <c r="D100" s="12" t="s">
        <v>239</v>
      </c>
      <c r="E100" s="19" t="s">
        <v>694</v>
      </c>
      <c r="F100" s="10" t="s">
        <v>260</v>
      </c>
      <c r="G100" s="36" t="b">
        <f t="shared" si="2"/>
        <v>1</v>
      </c>
      <c r="J100">
        <v>81</v>
      </c>
      <c r="K100" s="47">
        <v>1.9999999999999999E-38</v>
      </c>
      <c r="L100">
        <v>38.22</v>
      </c>
      <c r="M100" t="str">
        <f t="shared" si="3"/>
        <v>No Match</v>
      </c>
    </row>
    <row r="101" spans="1:13">
      <c r="A101" s="11" t="s">
        <v>288</v>
      </c>
      <c r="B101" s="12" t="s">
        <v>289</v>
      </c>
      <c r="C101" s="12" t="s">
        <v>290</v>
      </c>
      <c r="D101" s="12" t="s">
        <v>239</v>
      </c>
      <c r="E101" s="19" t="s">
        <v>694</v>
      </c>
      <c r="F101" s="10" t="s">
        <v>260</v>
      </c>
      <c r="G101" s="36" t="b">
        <f t="shared" si="2"/>
        <v>1</v>
      </c>
      <c r="J101">
        <v>94</v>
      </c>
      <c r="K101" s="47">
        <v>3.9999999999999998E-67</v>
      </c>
      <c r="L101">
        <v>51.94</v>
      </c>
      <c r="M101" t="str">
        <f t="shared" si="3"/>
        <v>Match</v>
      </c>
    </row>
    <row r="102" spans="1:13">
      <c r="A102" s="5" t="s">
        <v>600</v>
      </c>
      <c r="B102" s="34" t="s">
        <v>601</v>
      </c>
      <c r="C102" s="6" t="s">
        <v>602</v>
      </c>
      <c r="D102" s="6" t="s">
        <v>493</v>
      </c>
      <c r="E102" s="6"/>
      <c r="F102" s="10" t="s">
        <v>240</v>
      </c>
      <c r="G102" s="36" t="b">
        <f t="shared" si="2"/>
        <v>1</v>
      </c>
      <c r="J102">
        <v>92</v>
      </c>
      <c r="K102">
        <v>0</v>
      </c>
      <c r="L102">
        <v>91.23</v>
      </c>
      <c r="M102" t="str">
        <f t="shared" si="3"/>
        <v>Match</v>
      </c>
    </row>
    <row r="103" spans="1:13">
      <c r="A103" s="5" t="s">
        <v>230</v>
      </c>
      <c r="B103" s="6" t="s">
        <v>231</v>
      </c>
      <c r="C103" s="6" t="s">
        <v>232</v>
      </c>
      <c r="D103" s="6" t="s">
        <v>199</v>
      </c>
      <c r="E103" s="7" t="s">
        <v>639</v>
      </c>
      <c r="F103" s="10" t="s">
        <v>11</v>
      </c>
      <c r="G103" s="36" t="b">
        <f t="shared" si="2"/>
        <v>1</v>
      </c>
      <c r="J103">
        <v>90</v>
      </c>
      <c r="K103" s="47">
        <v>2.0000000000000001E-53</v>
      </c>
      <c r="L103">
        <v>30.77</v>
      </c>
      <c r="M103" t="str">
        <f t="shared" si="3"/>
        <v>No Match</v>
      </c>
    </row>
    <row r="104" spans="1:13">
      <c r="A104" s="5" t="s">
        <v>363</v>
      </c>
      <c r="B104" s="6" t="s">
        <v>364</v>
      </c>
      <c r="C104" s="6" t="s">
        <v>365</v>
      </c>
      <c r="D104" s="6" t="s">
        <v>366</v>
      </c>
      <c r="E104" s="7" t="s">
        <v>639</v>
      </c>
      <c r="F104" s="16" t="s">
        <v>11</v>
      </c>
      <c r="G104" s="36" t="b">
        <f t="shared" si="2"/>
        <v>1</v>
      </c>
      <c r="J104" t="s">
        <v>825</v>
      </c>
      <c r="K104" t="s">
        <v>825</v>
      </c>
      <c r="L104" t="s">
        <v>825</v>
      </c>
      <c r="M104" t="str">
        <f t="shared" si="3"/>
        <v>No Match</v>
      </c>
    </row>
    <row r="105" spans="1:13">
      <c r="A105" s="5" t="s">
        <v>357</v>
      </c>
      <c r="B105" s="6" t="s">
        <v>358</v>
      </c>
      <c r="C105" s="6" t="s">
        <v>359</v>
      </c>
      <c r="D105" s="6" t="s">
        <v>350</v>
      </c>
      <c r="E105" s="7" t="s">
        <v>639</v>
      </c>
      <c r="F105" s="10" t="s">
        <v>11</v>
      </c>
      <c r="G105" s="36" t="b">
        <f t="shared" si="2"/>
        <v>1</v>
      </c>
      <c r="J105" t="s">
        <v>825</v>
      </c>
      <c r="K105" t="s">
        <v>825</v>
      </c>
      <c r="L105" t="s">
        <v>825</v>
      </c>
      <c r="M105" t="str">
        <f t="shared" si="3"/>
        <v>No Match</v>
      </c>
    </row>
    <row r="106" spans="1:13">
      <c r="A106" s="5" t="s">
        <v>203</v>
      </c>
      <c r="B106" s="6" t="s">
        <v>204</v>
      </c>
      <c r="C106" s="15" t="s">
        <v>205</v>
      </c>
      <c r="D106" s="6" t="s">
        <v>199</v>
      </c>
      <c r="E106" s="7" t="s">
        <v>639</v>
      </c>
      <c r="F106" s="10" t="s">
        <v>11</v>
      </c>
      <c r="G106" s="36" t="b">
        <f t="shared" si="2"/>
        <v>1</v>
      </c>
      <c r="J106">
        <v>78</v>
      </c>
      <c r="K106" s="47">
        <v>3E-11</v>
      </c>
      <c r="L106">
        <v>30.56</v>
      </c>
      <c r="M106" t="str">
        <f t="shared" si="3"/>
        <v>No Match</v>
      </c>
    </row>
    <row r="107" spans="1:13">
      <c r="A107" s="5" t="s">
        <v>102</v>
      </c>
      <c r="B107" s="6" t="s">
        <v>103</v>
      </c>
      <c r="C107" s="6" t="s">
        <v>663</v>
      </c>
      <c r="D107" s="6" t="s">
        <v>82</v>
      </c>
      <c r="E107" s="7" t="s">
        <v>639</v>
      </c>
      <c r="F107" s="10" t="s">
        <v>11</v>
      </c>
      <c r="G107" s="36" t="b">
        <f t="shared" si="2"/>
        <v>1</v>
      </c>
      <c r="J107">
        <v>89</v>
      </c>
      <c r="K107" s="47">
        <v>5.0000000000000004E-16</v>
      </c>
      <c r="L107">
        <v>24.03</v>
      </c>
      <c r="M107" t="str">
        <f t="shared" si="3"/>
        <v>No Match</v>
      </c>
    </row>
    <row r="108" spans="1:13">
      <c r="A108" s="5" t="s">
        <v>444</v>
      </c>
      <c r="B108" s="6" t="s">
        <v>445</v>
      </c>
      <c r="C108" s="6" t="s">
        <v>446</v>
      </c>
      <c r="D108" s="6" t="s">
        <v>427</v>
      </c>
      <c r="E108" s="7" t="s">
        <v>639</v>
      </c>
      <c r="F108" s="10" t="s">
        <v>11</v>
      </c>
      <c r="G108" s="36" t="b">
        <f t="shared" si="2"/>
        <v>1</v>
      </c>
      <c r="J108">
        <v>99</v>
      </c>
      <c r="K108" s="47">
        <v>1E-54</v>
      </c>
      <c r="L108">
        <v>58.6</v>
      </c>
      <c r="M108" t="str">
        <f t="shared" si="3"/>
        <v>Match</v>
      </c>
    </row>
    <row r="109" spans="1:13">
      <c r="A109" s="5"/>
      <c r="B109" s="6" t="s">
        <v>346</v>
      </c>
      <c r="C109" s="6" t="s">
        <v>727</v>
      </c>
      <c r="D109" s="6" t="s">
        <v>298</v>
      </c>
      <c r="E109" s="6" t="s">
        <v>726</v>
      </c>
      <c r="F109" s="10" t="s">
        <v>283</v>
      </c>
      <c r="G109" s="36" t="b">
        <f t="shared" si="2"/>
        <v>1</v>
      </c>
      <c r="J109" t="s">
        <v>825</v>
      </c>
      <c r="K109" t="s">
        <v>825</v>
      </c>
      <c r="L109" t="s">
        <v>825</v>
      </c>
      <c r="M109" t="str">
        <f t="shared" si="3"/>
        <v>No Match</v>
      </c>
    </row>
    <row r="110" spans="1:13">
      <c r="A110" s="5"/>
      <c r="B110" s="6" t="s">
        <v>294</v>
      </c>
      <c r="C110" s="6" t="s">
        <v>295</v>
      </c>
      <c r="D110" s="6" t="s">
        <v>239</v>
      </c>
      <c r="E110" s="6" t="s">
        <v>709</v>
      </c>
      <c r="F110" s="16" t="s">
        <v>240</v>
      </c>
      <c r="G110" s="36" t="b">
        <f t="shared" si="2"/>
        <v>1</v>
      </c>
      <c r="J110" t="s">
        <v>825</v>
      </c>
      <c r="K110" t="s">
        <v>825</v>
      </c>
      <c r="L110" t="s">
        <v>825</v>
      </c>
      <c r="M110" t="str">
        <f t="shared" si="3"/>
        <v>No Match</v>
      </c>
    </row>
    <row r="111" spans="1:13">
      <c r="A111" s="11" t="s">
        <v>257</v>
      </c>
      <c r="B111" s="12" t="s">
        <v>258</v>
      </c>
      <c r="C111" s="6" t="s">
        <v>259</v>
      </c>
      <c r="D111" s="12" t="s">
        <v>239</v>
      </c>
      <c r="E111" s="19" t="s">
        <v>694</v>
      </c>
      <c r="F111" s="10" t="s">
        <v>260</v>
      </c>
      <c r="G111" s="36" t="b">
        <f t="shared" si="2"/>
        <v>1</v>
      </c>
      <c r="J111">
        <v>97</v>
      </c>
      <c r="K111" s="47">
        <v>3.0000000000000003E-20</v>
      </c>
      <c r="L111">
        <v>29.28</v>
      </c>
      <c r="M111" t="str">
        <f t="shared" si="3"/>
        <v>No Match</v>
      </c>
    </row>
    <row r="112" spans="1:13">
      <c r="A112" s="14" t="s">
        <v>24</v>
      </c>
      <c r="B112" s="15" t="s">
        <v>25</v>
      </c>
      <c r="C112" s="15" t="s">
        <v>26</v>
      </c>
      <c r="D112" s="6" t="s">
        <v>10</v>
      </c>
      <c r="E112" s="12" t="s">
        <v>642</v>
      </c>
      <c r="F112" s="10" t="s">
        <v>23</v>
      </c>
      <c r="G112" s="36" t="b">
        <f t="shared" si="2"/>
        <v>0</v>
      </c>
      <c r="H112" s="45" t="s">
        <v>819</v>
      </c>
      <c r="J112">
        <v>69</v>
      </c>
      <c r="K112" s="47">
        <v>2.0000000000000001E-122</v>
      </c>
      <c r="L112">
        <v>38.4</v>
      </c>
      <c r="M112" t="str">
        <f t="shared" si="3"/>
        <v>No Match</v>
      </c>
    </row>
    <row r="113" spans="1:13">
      <c r="A113" s="5" t="s">
        <v>30</v>
      </c>
      <c r="B113" s="6" t="s">
        <v>31</v>
      </c>
      <c r="C113" s="6" t="s">
        <v>644</v>
      </c>
      <c r="D113" s="6" t="s">
        <v>10</v>
      </c>
      <c r="E113" s="7" t="s">
        <v>643</v>
      </c>
      <c r="F113" s="16" t="s">
        <v>11</v>
      </c>
      <c r="G113" s="36" t="b">
        <f t="shared" si="2"/>
        <v>1</v>
      </c>
      <c r="J113" t="s">
        <v>825</v>
      </c>
      <c r="K113" t="s">
        <v>825</v>
      </c>
      <c r="L113" t="s">
        <v>825</v>
      </c>
      <c r="M113" t="str">
        <f t="shared" si="3"/>
        <v>No Match</v>
      </c>
    </row>
    <row r="114" spans="1:13">
      <c r="A114" s="11" t="s">
        <v>180</v>
      </c>
      <c r="B114" s="12" t="s">
        <v>181</v>
      </c>
      <c r="C114" s="6" t="s">
        <v>674</v>
      </c>
      <c r="D114" s="12" t="s">
        <v>178</v>
      </c>
      <c r="E114" s="12" t="s">
        <v>655</v>
      </c>
      <c r="F114" s="10" t="s">
        <v>14</v>
      </c>
      <c r="G114" s="36" t="b">
        <f t="shared" si="2"/>
        <v>1</v>
      </c>
      <c r="J114">
        <v>99</v>
      </c>
      <c r="K114" s="47">
        <v>2.0000000000000001E-135</v>
      </c>
      <c r="L114">
        <v>42.1</v>
      </c>
      <c r="M114" t="str">
        <f t="shared" si="3"/>
        <v>Match</v>
      </c>
    </row>
    <row r="115" spans="1:13">
      <c r="A115" s="11" t="s">
        <v>335</v>
      </c>
      <c r="B115" s="22" t="s">
        <v>336</v>
      </c>
      <c r="C115" s="6" t="s">
        <v>337</v>
      </c>
      <c r="D115" s="12" t="s">
        <v>298</v>
      </c>
      <c r="E115" s="12" t="s">
        <v>655</v>
      </c>
      <c r="F115" s="10" t="s">
        <v>17</v>
      </c>
      <c r="G115" s="36" t="b">
        <f t="shared" si="2"/>
        <v>1</v>
      </c>
      <c r="J115">
        <v>99</v>
      </c>
      <c r="K115" s="47">
        <v>2.0000000000000001E-173</v>
      </c>
      <c r="L115">
        <v>45.96</v>
      </c>
      <c r="M115" t="str">
        <f t="shared" si="3"/>
        <v>Match</v>
      </c>
    </row>
    <row r="116" spans="1:13">
      <c r="A116" s="5" t="s">
        <v>250</v>
      </c>
      <c r="B116" s="6" t="s">
        <v>251</v>
      </c>
      <c r="C116" s="6" t="s">
        <v>690</v>
      </c>
      <c r="D116" s="6" t="s">
        <v>239</v>
      </c>
      <c r="E116" s="7" t="s">
        <v>689</v>
      </c>
      <c r="F116" s="10" t="s">
        <v>240</v>
      </c>
      <c r="G116" s="36" t="b">
        <f t="shared" si="2"/>
        <v>1</v>
      </c>
      <c r="J116">
        <v>86</v>
      </c>
      <c r="K116" s="47">
        <v>3.9999999999999998E-11</v>
      </c>
      <c r="L116">
        <v>22.54</v>
      </c>
      <c r="M116" t="str">
        <f t="shared" si="3"/>
        <v>No Match</v>
      </c>
    </row>
    <row r="117" spans="1:13">
      <c r="A117" s="5" t="s">
        <v>77</v>
      </c>
      <c r="B117" s="6" t="s">
        <v>78</v>
      </c>
      <c r="C117" s="6" t="s">
        <v>659</v>
      </c>
      <c r="D117" s="6" t="s">
        <v>10</v>
      </c>
      <c r="E117" s="7" t="s">
        <v>639</v>
      </c>
      <c r="F117" s="10" t="s">
        <v>11</v>
      </c>
      <c r="G117" s="36" t="b">
        <f t="shared" si="2"/>
        <v>1</v>
      </c>
      <c r="J117">
        <v>85</v>
      </c>
      <c r="K117" s="47">
        <v>9.9999999999999994E-37</v>
      </c>
      <c r="L117">
        <v>34.67</v>
      </c>
      <c r="M117" t="str">
        <f t="shared" si="3"/>
        <v>No Match</v>
      </c>
    </row>
    <row r="118" spans="1:13">
      <c r="A118" s="5"/>
      <c r="B118" s="6" t="s">
        <v>192</v>
      </c>
      <c r="C118" s="6" t="s">
        <v>193</v>
      </c>
      <c r="D118" s="6" t="s">
        <v>191</v>
      </c>
      <c r="E118" s="7" t="s">
        <v>639</v>
      </c>
      <c r="F118" s="10" t="s">
        <v>11</v>
      </c>
      <c r="G118" s="36" t="b">
        <f t="shared" si="2"/>
        <v>1</v>
      </c>
      <c r="J118" t="s">
        <v>825</v>
      </c>
      <c r="K118" t="s">
        <v>825</v>
      </c>
      <c r="L118" t="s">
        <v>825</v>
      </c>
      <c r="M118" t="str">
        <f t="shared" si="3"/>
        <v>No Match</v>
      </c>
    </row>
    <row r="119" spans="1:13">
      <c r="A119" s="5" t="s">
        <v>503</v>
      </c>
      <c r="B119" s="6" t="s">
        <v>504</v>
      </c>
      <c r="C119" s="6" t="s">
        <v>764</v>
      </c>
      <c r="D119" s="6" t="s">
        <v>493</v>
      </c>
      <c r="E119" s="7" t="s">
        <v>763</v>
      </c>
      <c r="F119" s="10" t="s">
        <v>240</v>
      </c>
      <c r="G119" s="36" t="b">
        <f t="shared" si="2"/>
        <v>1</v>
      </c>
      <c r="J119" t="s">
        <v>825</v>
      </c>
      <c r="K119" t="s">
        <v>825</v>
      </c>
      <c r="L119" t="s">
        <v>825</v>
      </c>
      <c r="M119" t="str">
        <f t="shared" si="3"/>
        <v>No Match</v>
      </c>
    </row>
    <row r="120" spans="1:13">
      <c r="A120" s="5" t="s">
        <v>32</v>
      </c>
      <c r="B120" s="6" t="s">
        <v>33</v>
      </c>
      <c r="C120" s="6" t="s">
        <v>34</v>
      </c>
      <c r="D120" s="6" t="s">
        <v>10</v>
      </c>
      <c r="E120" s="7" t="s">
        <v>639</v>
      </c>
      <c r="F120" s="10" t="s">
        <v>11</v>
      </c>
      <c r="G120" s="36" t="b">
        <f t="shared" si="2"/>
        <v>1</v>
      </c>
      <c r="J120">
        <v>93</v>
      </c>
      <c r="K120" s="47">
        <v>1E-10</v>
      </c>
      <c r="L120">
        <v>22.98</v>
      </c>
      <c r="M120" t="str">
        <f t="shared" si="3"/>
        <v>No Match</v>
      </c>
    </row>
    <row r="121" spans="1:13">
      <c r="A121" s="5" t="s">
        <v>74</v>
      </c>
      <c r="B121" s="6" t="s">
        <v>75</v>
      </c>
      <c r="C121" s="6" t="s">
        <v>76</v>
      </c>
      <c r="D121" s="6" t="s">
        <v>10</v>
      </c>
      <c r="E121" s="7" t="s">
        <v>643</v>
      </c>
      <c r="F121" s="10" t="s">
        <v>11</v>
      </c>
      <c r="G121" s="36" t="b">
        <f t="shared" si="2"/>
        <v>1</v>
      </c>
      <c r="J121" t="s">
        <v>825</v>
      </c>
      <c r="K121" t="s">
        <v>825</v>
      </c>
      <c r="L121" t="s">
        <v>825</v>
      </c>
      <c r="M121" t="str">
        <f t="shared" si="3"/>
        <v>No Match</v>
      </c>
    </row>
    <row r="122" spans="1:13">
      <c r="A122" s="5" t="s">
        <v>40</v>
      </c>
      <c r="B122" s="6" t="s">
        <v>41</v>
      </c>
      <c r="C122" s="6" t="s">
        <v>42</v>
      </c>
      <c r="D122" s="6" t="s">
        <v>10</v>
      </c>
      <c r="E122" s="6" t="s">
        <v>645</v>
      </c>
      <c r="F122" s="10" t="s">
        <v>14</v>
      </c>
      <c r="G122" s="36" t="b">
        <f t="shared" si="2"/>
        <v>1</v>
      </c>
      <c r="J122" t="s">
        <v>825</v>
      </c>
      <c r="K122" t="s">
        <v>825</v>
      </c>
      <c r="L122" t="s">
        <v>825</v>
      </c>
      <c r="M122" t="str">
        <f t="shared" si="3"/>
        <v>No Match</v>
      </c>
    </row>
    <row r="123" spans="1:13">
      <c r="A123" s="5" t="s">
        <v>360</v>
      </c>
      <c r="B123" s="6" t="s">
        <v>361</v>
      </c>
      <c r="C123" s="6" t="s">
        <v>362</v>
      </c>
      <c r="D123" s="6" t="s">
        <v>350</v>
      </c>
      <c r="E123" s="7" t="s">
        <v>639</v>
      </c>
      <c r="F123" s="10" t="s">
        <v>11</v>
      </c>
      <c r="G123" s="36" t="b">
        <f t="shared" si="2"/>
        <v>1</v>
      </c>
      <c r="J123">
        <v>1</v>
      </c>
      <c r="K123" s="47">
        <v>2.0000000000000001E-158</v>
      </c>
      <c r="L123">
        <v>51.75</v>
      </c>
      <c r="M123" t="str">
        <f t="shared" si="3"/>
        <v>No Match</v>
      </c>
    </row>
    <row r="124" spans="1:13">
      <c r="A124" s="5" t="s">
        <v>303</v>
      </c>
      <c r="B124" s="6" t="s">
        <v>304</v>
      </c>
      <c r="C124" s="6" t="s">
        <v>305</v>
      </c>
      <c r="D124" s="6" t="s">
        <v>298</v>
      </c>
      <c r="E124" s="7" t="s">
        <v>639</v>
      </c>
      <c r="F124" s="10" t="s">
        <v>11</v>
      </c>
      <c r="G124" s="36" t="b">
        <f t="shared" si="2"/>
        <v>1</v>
      </c>
      <c r="J124">
        <v>87</v>
      </c>
      <c r="K124" s="47">
        <v>1.9999999999999998E-96</v>
      </c>
      <c r="L124">
        <v>50.32</v>
      </c>
      <c r="M124" t="str">
        <f t="shared" si="3"/>
        <v>Match</v>
      </c>
    </row>
    <row r="125" spans="1:13">
      <c r="A125" s="5" t="s">
        <v>227</v>
      </c>
      <c r="B125" s="6" t="s">
        <v>228</v>
      </c>
      <c r="C125" s="6" t="s">
        <v>229</v>
      </c>
      <c r="D125" s="6" t="s">
        <v>199</v>
      </c>
      <c r="E125" s="7" t="s">
        <v>639</v>
      </c>
      <c r="F125" s="10" t="s">
        <v>11</v>
      </c>
      <c r="G125" s="36" t="b">
        <f t="shared" si="2"/>
        <v>1</v>
      </c>
      <c r="J125">
        <v>96</v>
      </c>
      <c r="K125" s="47">
        <v>9.9999999999999994E-12</v>
      </c>
      <c r="L125">
        <v>25.68</v>
      </c>
      <c r="M125" t="str">
        <f t="shared" si="3"/>
        <v>No Match</v>
      </c>
    </row>
    <row r="126" spans="1:13">
      <c r="A126" s="5" t="s">
        <v>449</v>
      </c>
      <c r="B126" s="6" t="s">
        <v>450</v>
      </c>
      <c r="C126" s="6" t="s">
        <v>451</v>
      </c>
      <c r="D126" s="6" t="s">
        <v>427</v>
      </c>
      <c r="E126" s="7" t="s">
        <v>639</v>
      </c>
      <c r="F126" s="10" t="s">
        <v>11</v>
      </c>
      <c r="G126" s="36" t="b">
        <f t="shared" si="2"/>
        <v>1</v>
      </c>
      <c r="J126">
        <v>88</v>
      </c>
      <c r="K126" s="47">
        <v>2E-35</v>
      </c>
      <c r="L126">
        <v>46.81</v>
      </c>
      <c r="M126" t="str">
        <f t="shared" si="3"/>
        <v>Match</v>
      </c>
    </row>
    <row r="127" spans="1:13">
      <c r="A127" s="5" t="s">
        <v>343</v>
      </c>
      <c r="B127" s="6" t="s">
        <v>344</v>
      </c>
      <c r="C127" s="6" t="s">
        <v>345</v>
      </c>
      <c r="D127" s="6" t="s">
        <v>298</v>
      </c>
      <c r="E127" s="7" t="s">
        <v>639</v>
      </c>
      <c r="F127" s="10" t="s">
        <v>11</v>
      </c>
      <c r="G127" s="36" t="b">
        <f t="shared" si="2"/>
        <v>1</v>
      </c>
      <c r="J127">
        <v>99</v>
      </c>
      <c r="K127" s="47">
        <v>1.9999999999999999E-106</v>
      </c>
      <c r="L127">
        <v>54.19</v>
      </c>
      <c r="M127" t="str">
        <f t="shared" si="3"/>
        <v>Match</v>
      </c>
    </row>
    <row r="128" spans="1:13">
      <c r="A128" s="5" t="s">
        <v>62</v>
      </c>
      <c r="B128" s="6" t="s">
        <v>63</v>
      </c>
      <c r="C128" s="6" t="s">
        <v>64</v>
      </c>
      <c r="D128" s="6" t="s">
        <v>10</v>
      </c>
      <c r="E128" s="7" t="s">
        <v>634</v>
      </c>
      <c r="F128" s="10" t="s">
        <v>11</v>
      </c>
      <c r="G128" s="36" t="b">
        <f t="shared" si="2"/>
        <v>1</v>
      </c>
      <c r="J128" t="s">
        <v>825</v>
      </c>
      <c r="K128" t="s">
        <v>825</v>
      </c>
      <c r="L128" t="s">
        <v>825</v>
      </c>
      <c r="M128" t="str">
        <f t="shared" si="3"/>
        <v>No Match</v>
      </c>
    </row>
    <row r="129" spans="1:13">
      <c r="A129" s="11" t="s">
        <v>521</v>
      </c>
      <c r="B129" s="12" t="s">
        <v>522</v>
      </c>
      <c r="C129" s="6" t="s">
        <v>772</v>
      </c>
      <c r="D129" s="6" t="s">
        <v>493</v>
      </c>
      <c r="E129" s="12" t="s">
        <v>637</v>
      </c>
      <c r="F129" s="10" t="s">
        <v>14</v>
      </c>
      <c r="G129" s="36" t="b">
        <f t="shared" si="2"/>
        <v>1</v>
      </c>
      <c r="J129">
        <v>99</v>
      </c>
      <c r="K129">
        <v>0</v>
      </c>
      <c r="L129">
        <v>61.07</v>
      </c>
      <c r="M129" t="str">
        <f t="shared" si="3"/>
        <v>Match</v>
      </c>
    </row>
    <row r="130" spans="1:13">
      <c r="A130" s="5" t="s">
        <v>525</v>
      </c>
      <c r="B130" s="6" t="s">
        <v>526</v>
      </c>
      <c r="C130" s="6" t="s">
        <v>774</v>
      </c>
      <c r="D130" s="6" t="s">
        <v>493</v>
      </c>
      <c r="E130" s="6" t="s">
        <v>660</v>
      </c>
      <c r="F130" s="10" t="s">
        <v>89</v>
      </c>
      <c r="G130" s="36" t="b">
        <f t="shared" si="2"/>
        <v>1</v>
      </c>
      <c r="J130">
        <v>98</v>
      </c>
      <c r="K130" s="47">
        <v>3.9999999999999998E-157</v>
      </c>
      <c r="L130">
        <v>39.229999999999997</v>
      </c>
      <c r="M130" t="str">
        <f t="shared" si="3"/>
        <v>No Match</v>
      </c>
    </row>
    <row r="131" spans="1:13">
      <c r="A131" s="11" t="s">
        <v>603</v>
      </c>
      <c r="B131" s="12" t="s">
        <v>604</v>
      </c>
      <c r="C131" s="6" t="s">
        <v>791</v>
      </c>
      <c r="D131" s="6" t="s">
        <v>493</v>
      </c>
      <c r="E131" s="19" t="s">
        <v>790</v>
      </c>
      <c r="F131" s="10" t="s">
        <v>605</v>
      </c>
      <c r="G131" s="36" t="b">
        <f t="shared" ref="G131:G194" si="4">RIGHT(TRIM(C131),2)=".1"</f>
        <v>1</v>
      </c>
      <c r="J131">
        <v>77</v>
      </c>
      <c r="K131" s="47">
        <v>2.9999999999999999E-35</v>
      </c>
      <c r="L131">
        <v>36.409999999999997</v>
      </c>
      <c r="M131" t="str">
        <f t="shared" ref="M131:M194" si="5">IF(AND(ISNUMBER(L131),L131&gt;=40,ISNUMBER(J131),J131&gt;=70),"Match","No Match")</f>
        <v>No Match</v>
      </c>
    </row>
    <row r="132" spans="1:13">
      <c r="A132" s="5" t="s">
        <v>133</v>
      </c>
      <c r="B132" s="6" t="s">
        <v>134</v>
      </c>
      <c r="C132" s="6" t="s">
        <v>666</v>
      </c>
      <c r="D132" s="6" t="s">
        <v>82</v>
      </c>
      <c r="E132" s="6" t="s">
        <v>660</v>
      </c>
      <c r="F132" s="10" t="s">
        <v>89</v>
      </c>
      <c r="G132" s="36" t="b">
        <f t="shared" si="4"/>
        <v>1</v>
      </c>
      <c r="J132">
        <v>97</v>
      </c>
      <c r="K132" s="47">
        <v>1.0000000000000001E-130</v>
      </c>
      <c r="L132">
        <v>58.03</v>
      </c>
      <c r="M132" t="str">
        <f t="shared" si="5"/>
        <v>Match</v>
      </c>
    </row>
    <row r="133" spans="1:13">
      <c r="A133" s="5" t="s">
        <v>59</v>
      </c>
      <c r="B133" s="6" t="s">
        <v>60</v>
      </c>
      <c r="C133" s="6" t="s">
        <v>61</v>
      </c>
      <c r="D133" s="6" t="s">
        <v>10</v>
      </c>
      <c r="E133" s="6" t="s">
        <v>635</v>
      </c>
      <c r="F133" s="10" t="s">
        <v>14</v>
      </c>
      <c r="G133" s="36" t="b">
        <f t="shared" si="4"/>
        <v>1</v>
      </c>
      <c r="J133" t="s">
        <v>825</v>
      </c>
      <c r="K133" t="s">
        <v>825</v>
      </c>
      <c r="L133" t="s">
        <v>825</v>
      </c>
      <c r="M133" t="str">
        <f t="shared" si="5"/>
        <v>No Match</v>
      </c>
    </row>
    <row r="134" spans="1:13">
      <c r="A134" s="14" t="s">
        <v>356</v>
      </c>
      <c r="B134" s="23"/>
      <c r="C134" s="6" t="s">
        <v>730</v>
      </c>
      <c r="D134" s="6" t="s">
        <v>350</v>
      </c>
      <c r="E134" s="12" t="s">
        <v>729</v>
      </c>
      <c r="F134" s="10" t="s">
        <v>23</v>
      </c>
      <c r="G134" s="36" t="b">
        <f t="shared" si="4"/>
        <v>1</v>
      </c>
      <c r="J134" t="s">
        <v>825</v>
      </c>
      <c r="K134" t="s">
        <v>825</v>
      </c>
      <c r="L134" t="s">
        <v>825</v>
      </c>
      <c r="M134" t="str">
        <f t="shared" si="5"/>
        <v>No Match</v>
      </c>
    </row>
    <row r="135" spans="1:13">
      <c r="A135" s="14" t="s">
        <v>351</v>
      </c>
      <c r="B135" s="15" t="s">
        <v>352</v>
      </c>
      <c r="C135" s="12" t="s">
        <v>353</v>
      </c>
      <c r="D135" s="6" t="s">
        <v>350</v>
      </c>
      <c r="E135" s="12" t="s">
        <v>729</v>
      </c>
      <c r="F135" s="10" t="s">
        <v>23</v>
      </c>
      <c r="G135" s="36" t="b">
        <f t="shared" si="4"/>
        <v>1</v>
      </c>
      <c r="J135" t="s">
        <v>825</v>
      </c>
      <c r="K135" t="s">
        <v>825</v>
      </c>
      <c r="L135" t="s">
        <v>825</v>
      </c>
      <c r="M135" t="str">
        <f t="shared" si="5"/>
        <v>No Match</v>
      </c>
    </row>
    <row r="136" spans="1:13">
      <c r="A136" s="14" t="s">
        <v>562</v>
      </c>
      <c r="B136" s="15" t="s">
        <v>563</v>
      </c>
      <c r="C136" s="6" t="s">
        <v>784</v>
      </c>
      <c r="D136" s="6" t="s">
        <v>493</v>
      </c>
      <c r="E136" s="12" t="s">
        <v>729</v>
      </c>
      <c r="F136" s="10" t="s">
        <v>23</v>
      </c>
      <c r="G136" s="36" t="b">
        <f t="shared" si="4"/>
        <v>1</v>
      </c>
      <c r="J136" t="s">
        <v>825</v>
      </c>
      <c r="K136" t="s">
        <v>825</v>
      </c>
      <c r="L136" t="s">
        <v>825</v>
      </c>
      <c r="M136" t="str">
        <f t="shared" si="5"/>
        <v>No Match</v>
      </c>
    </row>
    <row r="137" spans="1:13">
      <c r="A137" s="14" t="s">
        <v>551</v>
      </c>
      <c r="B137" s="15" t="s">
        <v>552</v>
      </c>
      <c r="C137" s="6" t="s">
        <v>553</v>
      </c>
      <c r="D137" s="6" t="s">
        <v>493</v>
      </c>
      <c r="E137" s="12" t="s">
        <v>729</v>
      </c>
      <c r="F137" s="10" t="s">
        <v>23</v>
      </c>
      <c r="G137" s="36" t="b">
        <f t="shared" si="4"/>
        <v>1</v>
      </c>
      <c r="J137">
        <v>99</v>
      </c>
      <c r="K137" s="47">
        <v>7.9999999999999995E-29</v>
      </c>
      <c r="L137">
        <v>50.54</v>
      </c>
      <c r="M137" t="str">
        <f t="shared" si="5"/>
        <v>Match</v>
      </c>
    </row>
    <row r="138" spans="1:13">
      <c r="A138" s="14" t="s">
        <v>354</v>
      </c>
      <c r="B138" s="23"/>
      <c r="C138" s="6" t="s">
        <v>355</v>
      </c>
      <c r="D138" s="6" t="s">
        <v>350</v>
      </c>
      <c r="E138" s="12" t="s">
        <v>729</v>
      </c>
      <c r="F138" s="10" t="s">
        <v>23</v>
      </c>
      <c r="G138" s="36" t="b">
        <f t="shared" si="4"/>
        <v>1</v>
      </c>
      <c r="J138">
        <v>94</v>
      </c>
      <c r="K138" s="47">
        <v>2.9999999999999998E-13</v>
      </c>
      <c r="L138">
        <v>45.31</v>
      </c>
      <c r="M138" t="str">
        <f t="shared" si="5"/>
        <v>Match</v>
      </c>
    </row>
    <row r="139" spans="1:13">
      <c r="A139" s="11" t="s">
        <v>323</v>
      </c>
      <c r="B139" s="12" t="s">
        <v>324</v>
      </c>
      <c r="C139" s="6" t="s">
        <v>718</v>
      </c>
      <c r="D139" s="12" t="s">
        <v>298</v>
      </c>
      <c r="E139" s="12" t="s">
        <v>637</v>
      </c>
      <c r="F139" s="10" t="s">
        <v>260</v>
      </c>
      <c r="G139" s="36" t="b">
        <f t="shared" si="4"/>
        <v>1</v>
      </c>
      <c r="J139">
        <v>99</v>
      </c>
      <c r="K139" s="47">
        <v>9.9999999999999995E-179</v>
      </c>
      <c r="L139">
        <v>58.07</v>
      </c>
      <c r="M139" t="str">
        <f t="shared" si="5"/>
        <v>Match</v>
      </c>
    </row>
    <row r="140" spans="1:13">
      <c r="A140" s="11" t="s">
        <v>47</v>
      </c>
      <c r="B140" s="12" t="s">
        <v>48</v>
      </c>
      <c r="C140" s="6" t="s">
        <v>650</v>
      </c>
      <c r="D140" s="12" t="s">
        <v>10</v>
      </c>
      <c r="E140" s="12" t="s">
        <v>637</v>
      </c>
      <c r="F140" s="10" t="s">
        <v>14</v>
      </c>
      <c r="G140" s="36" t="b">
        <f t="shared" si="4"/>
        <v>1</v>
      </c>
      <c r="J140">
        <v>98</v>
      </c>
      <c r="K140" s="47">
        <v>7.0000000000000003E-38</v>
      </c>
      <c r="L140">
        <v>47.62</v>
      </c>
      <c r="M140" t="str">
        <f t="shared" si="5"/>
        <v>Match</v>
      </c>
    </row>
    <row r="141" spans="1:13">
      <c r="A141" s="11" t="s">
        <v>276</v>
      </c>
      <c r="B141" s="12" t="s">
        <v>277</v>
      </c>
      <c r="C141" s="6" t="s">
        <v>702</v>
      </c>
      <c r="D141" s="12" t="s">
        <v>239</v>
      </c>
      <c r="E141" s="12" t="s">
        <v>655</v>
      </c>
      <c r="F141" s="10" t="s">
        <v>17</v>
      </c>
      <c r="G141" s="36" t="b">
        <f t="shared" si="4"/>
        <v>1</v>
      </c>
      <c r="J141">
        <v>99</v>
      </c>
      <c r="K141">
        <v>0</v>
      </c>
      <c r="L141">
        <v>67.81</v>
      </c>
      <c r="M141" t="str">
        <f t="shared" si="5"/>
        <v>Match</v>
      </c>
    </row>
    <row r="142" spans="1:13">
      <c r="A142" s="11" t="s">
        <v>534</v>
      </c>
      <c r="B142" s="12" t="s">
        <v>535</v>
      </c>
      <c r="C142" s="6" t="s">
        <v>777</v>
      </c>
      <c r="D142" s="6" t="s">
        <v>493</v>
      </c>
      <c r="E142" s="12" t="s">
        <v>655</v>
      </c>
      <c r="F142" s="10" t="s">
        <v>14</v>
      </c>
      <c r="G142" s="36" t="b">
        <f t="shared" si="4"/>
        <v>1</v>
      </c>
      <c r="J142">
        <v>97</v>
      </c>
      <c r="K142" s="47">
        <v>1E-117</v>
      </c>
      <c r="L142">
        <v>45.78</v>
      </c>
      <c r="M142" t="str">
        <f t="shared" si="5"/>
        <v>Match</v>
      </c>
    </row>
    <row r="143" spans="1:13">
      <c r="A143" s="11" t="s">
        <v>527</v>
      </c>
      <c r="B143" s="12" t="s">
        <v>528</v>
      </c>
      <c r="C143" s="6" t="s">
        <v>775</v>
      </c>
      <c r="D143" s="6" t="s">
        <v>493</v>
      </c>
      <c r="E143" s="12" t="s">
        <v>637</v>
      </c>
      <c r="F143" s="10" t="s">
        <v>14</v>
      </c>
      <c r="G143" s="36" t="b">
        <f t="shared" si="4"/>
        <v>1</v>
      </c>
      <c r="J143">
        <v>99</v>
      </c>
      <c r="K143" s="47">
        <v>2.0000000000000001E-166</v>
      </c>
      <c r="L143">
        <v>52.73</v>
      </c>
      <c r="M143" t="str">
        <f t="shared" si="5"/>
        <v>Match</v>
      </c>
    </row>
    <row r="144" spans="1:13">
      <c r="A144" s="11" t="s">
        <v>536</v>
      </c>
      <c r="B144" s="12" t="s">
        <v>537</v>
      </c>
      <c r="C144" s="6" t="s">
        <v>538</v>
      </c>
      <c r="D144" s="6" t="s">
        <v>493</v>
      </c>
      <c r="E144" s="12" t="s">
        <v>637</v>
      </c>
      <c r="F144" s="10" t="s">
        <v>14</v>
      </c>
      <c r="G144" s="36" t="b">
        <f t="shared" si="4"/>
        <v>1</v>
      </c>
      <c r="J144">
        <v>99</v>
      </c>
      <c r="K144" s="47">
        <v>1E-119</v>
      </c>
      <c r="L144">
        <v>49.21</v>
      </c>
      <c r="M144" t="str">
        <f t="shared" si="5"/>
        <v>Match</v>
      </c>
    </row>
    <row r="145" spans="1:13">
      <c r="A145" s="5" t="s">
        <v>467</v>
      </c>
      <c r="B145" s="6" t="s">
        <v>468</v>
      </c>
      <c r="C145" s="6" t="s">
        <v>756</v>
      </c>
      <c r="D145" s="6" t="s">
        <v>427</v>
      </c>
      <c r="E145" s="7" t="s">
        <v>755</v>
      </c>
      <c r="F145" s="10" t="s">
        <v>469</v>
      </c>
      <c r="G145" s="36" t="b">
        <f t="shared" si="4"/>
        <v>1</v>
      </c>
      <c r="J145">
        <v>98</v>
      </c>
      <c r="K145" s="47">
        <v>3.0000000000000001E-112</v>
      </c>
      <c r="L145">
        <v>57.19</v>
      </c>
      <c r="M145" t="str">
        <f t="shared" si="5"/>
        <v>Match</v>
      </c>
    </row>
    <row r="146" spans="1:13">
      <c r="A146" s="11" t="s">
        <v>278</v>
      </c>
      <c r="B146" s="12" t="s">
        <v>279</v>
      </c>
      <c r="C146" s="6" t="s">
        <v>703</v>
      </c>
      <c r="D146" s="12" t="s">
        <v>239</v>
      </c>
      <c r="E146" s="12" t="s">
        <v>655</v>
      </c>
      <c r="F146" s="10" t="s">
        <v>280</v>
      </c>
      <c r="G146" s="36" t="b">
        <f t="shared" si="4"/>
        <v>1</v>
      </c>
      <c r="J146">
        <v>85</v>
      </c>
      <c r="K146" s="47">
        <v>4.9999999999999996E-35</v>
      </c>
      <c r="L146">
        <v>37.75</v>
      </c>
      <c r="M146" t="str">
        <f t="shared" si="5"/>
        <v>No Match</v>
      </c>
    </row>
    <row r="147" spans="1:13">
      <c r="A147" s="5" t="s">
        <v>216</v>
      </c>
      <c r="B147" s="6" t="s">
        <v>217</v>
      </c>
      <c r="C147" s="6" t="s">
        <v>685</v>
      </c>
      <c r="D147" s="6" t="s">
        <v>199</v>
      </c>
      <c r="E147" s="12" t="s">
        <v>681</v>
      </c>
      <c r="F147" s="10" t="s">
        <v>210</v>
      </c>
      <c r="G147" s="36" t="b">
        <f t="shared" si="4"/>
        <v>1</v>
      </c>
      <c r="J147" t="s">
        <v>825</v>
      </c>
      <c r="K147" t="s">
        <v>825</v>
      </c>
      <c r="L147" t="s">
        <v>825</v>
      </c>
      <c r="M147" t="str">
        <f t="shared" si="5"/>
        <v>No Match</v>
      </c>
    </row>
    <row r="148" spans="1:13">
      <c r="A148" s="5" t="s">
        <v>214</v>
      </c>
      <c r="B148" s="6"/>
      <c r="C148" s="6" t="s">
        <v>683</v>
      </c>
      <c r="D148" s="6" t="s">
        <v>199</v>
      </c>
      <c r="E148" s="12" t="s">
        <v>681</v>
      </c>
      <c r="F148" s="10" t="s">
        <v>210</v>
      </c>
      <c r="G148" s="36" t="b">
        <f t="shared" si="4"/>
        <v>1</v>
      </c>
      <c r="J148" t="s">
        <v>825</v>
      </c>
      <c r="K148" t="s">
        <v>825</v>
      </c>
      <c r="L148" t="s">
        <v>825</v>
      </c>
      <c r="M148" t="str">
        <f t="shared" si="5"/>
        <v>No Match</v>
      </c>
    </row>
    <row r="149" spans="1:13">
      <c r="A149" s="5" t="s">
        <v>215</v>
      </c>
      <c r="B149" s="6"/>
      <c r="C149" s="6" t="s">
        <v>684</v>
      </c>
      <c r="D149" s="6" t="s">
        <v>199</v>
      </c>
      <c r="E149" s="12" t="s">
        <v>681</v>
      </c>
      <c r="F149" s="10" t="s">
        <v>210</v>
      </c>
      <c r="G149" s="36" t="b">
        <f t="shared" si="4"/>
        <v>1</v>
      </c>
      <c r="J149" t="s">
        <v>825</v>
      </c>
      <c r="K149" t="s">
        <v>825</v>
      </c>
      <c r="L149" t="s">
        <v>825</v>
      </c>
      <c r="M149" t="str">
        <f t="shared" si="5"/>
        <v>No Match</v>
      </c>
    </row>
    <row r="150" spans="1:13">
      <c r="A150" s="11" t="s">
        <v>269</v>
      </c>
      <c r="B150" s="12" t="s">
        <v>270</v>
      </c>
      <c r="C150" s="6" t="s">
        <v>699</v>
      </c>
      <c r="D150" s="12" t="s">
        <v>239</v>
      </c>
      <c r="E150" s="12" t="s">
        <v>655</v>
      </c>
      <c r="F150" s="10" t="s">
        <v>17</v>
      </c>
      <c r="G150" s="36" t="b">
        <f t="shared" si="4"/>
        <v>1</v>
      </c>
      <c r="J150">
        <v>1</v>
      </c>
      <c r="K150">
        <v>0</v>
      </c>
      <c r="L150">
        <v>70.67</v>
      </c>
      <c r="M150" t="str">
        <f t="shared" si="5"/>
        <v>No Match</v>
      </c>
    </row>
    <row r="151" spans="1:13">
      <c r="A151" s="5" t="s">
        <v>208</v>
      </c>
      <c r="B151" s="6" t="s">
        <v>209</v>
      </c>
      <c r="C151" s="6" t="s">
        <v>682</v>
      </c>
      <c r="D151" s="6" t="s">
        <v>199</v>
      </c>
      <c r="E151" s="12" t="s">
        <v>681</v>
      </c>
      <c r="F151" s="16" t="s">
        <v>210</v>
      </c>
      <c r="G151" s="36" t="b">
        <f t="shared" si="4"/>
        <v>1</v>
      </c>
      <c r="J151" t="s">
        <v>825</v>
      </c>
      <c r="K151" t="s">
        <v>825</v>
      </c>
      <c r="L151" t="s">
        <v>825</v>
      </c>
      <c r="M151" t="str">
        <f t="shared" si="5"/>
        <v>No Match</v>
      </c>
    </row>
    <row r="152" spans="1:13">
      <c r="A152" s="11" t="s">
        <v>286</v>
      </c>
      <c r="B152" s="12" t="s">
        <v>287</v>
      </c>
      <c r="C152" s="6" t="s">
        <v>707</v>
      </c>
      <c r="D152" s="12" t="s">
        <v>239</v>
      </c>
      <c r="E152" s="12" t="s">
        <v>655</v>
      </c>
      <c r="F152" s="10" t="s">
        <v>14</v>
      </c>
      <c r="G152" s="36" t="b">
        <f t="shared" si="4"/>
        <v>1</v>
      </c>
      <c r="J152">
        <v>99</v>
      </c>
      <c r="K152">
        <v>0</v>
      </c>
      <c r="L152">
        <v>70.88</v>
      </c>
      <c r="M152" t="str">
        <f t="shared" si="5"/>
        <v>Match</v>
      </c>
    </row>
    <row r="153" spans="1:13">
      <c r="A153" s="11" t="s">
        <v>252</v>
      </c>
      <c r="B153" s="12" t="s">
        <v>253</v>
      </c>
      <c r="C153" s="6" t="s">
        <v>692</v>
      </c>
      <c r="D153" s="12" t="s">
        <v>239</v>
      </c>
      <c r="E153" s="12" t="s">
        <v>691</v>
      </c>
      <c r="F153" s="10" t="s">
        <v>17</v>
      </c>
      <c r="G153" s="36" t="b">
        <f t="shared" si="4"/>
        <v>1</v>
      </c>
      <c r="J153">
        <v>1</v>
      </c>
      <c r="K153" s="47">
        <v>2E-179</v>
      </c>
      <c r="L153">
        <v>78.239999999999995</v>
      </c>
      <c r="M153" t="str">
        <f t="shared" si="5"/>
        <v>No Match</v>
      </c>
    </row>
    <row r="154" spans="1:13">
      <c r="A154" s="11" t="s">
        <v>284</v>
      </c>
      <c r="B154" s="12" t="s">
        <v>285</v>
      </c>
      <c r="C154" s="6" t="s">
        <v>706</v>
      </c>
      <c r="D154" s="12" t="s">
        <v>239</v>
      </c>
      <c r="E154" s="12" t="s">
        <v>655</v>
      </c>
      <c r="F154" s="10" t="s">
        <v>260</v>
      </c>
      <c r="G154" s="36" t="b">
        <f t="shared" si="4"/>
        <v>1</v>
      </c>
      <c r="J154">
        <v>1</v>
      </c>
      <c r="K154" s="47">
        <v>4.9999999999999999E-119</v>
      </c>
      <c r="L154">
        <v>68.13</v>
      </c>
      <c r="M154" t="str">
        <f t="shared" si="5"/>
        <v>No Match</v>
      </c>
    </row>
    <row r="155" spans="1:13">
      <c r="A155" s="11" t="s">
        <v>15</v>
      </c>
      <c r="B155" s="12" t="s">
        <v>16</v>
      </c>
      <c r="C155" s="6" t="s">
        <v>638</v>
      </c>
      <c r="D155" s="12" t="s">
        <v>10</v>
      </c>
      <c r="E155" s="12" t="s">
        <v>637</v>
      </c>
      <c r="F155" s="10" t="s">
        <v>17</v>
      </c>
      <c r="G155" s="36" t="b">
        <f t="shared" si="4"/>
        <v>1</v>
      </c>
      <c r="J155">
        <v>99</v>
      </c>
      <c r="K155" s="47">
        <v>2.0000000000000001E-63</v>
      </c>
      <c r="L155">
        <v>42.91</v>
      </c>
      <c r="M155" t="str">
        <f t="shared" si="5"/>
        <v>Match</v>
      </c>
    </row>
    <row r="156" spans="1:13">
      <c r="A156" s="11" t="s">
        <v>447</v>
      </c>
      <c r="B156" s="12" t="s">
        <v>448</v>
      </c>
      <c r="C156" s="6" t="s">
        <v>753</v>
      </c>
      <c r="D156" s="6" t="s">
        <v>427</v>
      </c>
      <c r="E156" s="12" t="s">
        <v>637</v>
      </c>
      <c r="F156" s="10" t="s">
        <v>14</v>
      </c>
      <c r="G156" s="36" t="b">
        <f t="shared" si="4"/>
        <v>1</v>
      </c>
      <c r="J156">
        <v>99</v>
      </c>
      <c r="K156" s="47">
        <v>1E-58</v>
      </c>
      <c r="L156">
        <v>67.13</v>
      </c>
      <c r="M156" t="str">
        <f t="shared" si="5"/>
        <v>Match</v>
      </c>
    </row>
    <row r="157" spans="1:13">
      <c r="A157" s="11" t="s">
        <v>182</v>
      </c>
      <c r="B157" s="12" t="s">
        <v>183</v>
      </c>
      <c r="C157" s="6" t="s">
        <v>676</v>
      </c>
      <c r="D157" s="12" t="s">
        <v>178</v>
      </c>
      <c r="E157" s="19" t="s">
        <v>675</v>
      </c>
      <c r="F157" s="10" t="s">
        <v>14</v>
      </c>
      <c r="G157" s="36" t="b">
        <f t="shared" si="4"/>
        <v>1</v>
      </c>
      <c r="J157" t="s">
        <v>825</v>
      </c>
      <c r="K157" t="s">
        <v>825</v>
      </c>
      <c r="L157" t="s">
        <v>825</v>
      </c>
      <c r="M157" t="str">
        <f t="shared" si="5"/>
        <v>No Match</v>
      </c>
    </row>
    <row r="158" spans="1:13">
      <c r="A158" s="5" t="s">
        <v>593</v>
      </c>
      <c r="B158" s="6" t="s">
        <v>594</v>
      </c>
      <c r="C158" s="6" t="s">
        <v>595</v>
      </c>
      <c r="D158" s="6" t="s">
        <v>493</v>
      </c>
      <c r="E158" s="6" t="s">
        <v>788</v>
      </c>
      <c r="F158" s="10" t="s">
        <v>240</v>
      </c>
      <c r="G158" s="36" t="b">
        <f t="shared" si="4"/>
        <v>1</v>
      </c>
      <c r="J158" t="s">
        <v>825</v>
      </c>
      <c r="K158" t="s">
        <v>825</v>
      </c>
      <c r="L158" t="s">
        <v>825</v>
      </c>
      <c r="M158" t="str">
        <f t="shared" si="5"/>
        <v>No Match</v>
      </c>
    </row>
    <row r="159" spans="1:13">
      <c r="A159" s="5" t="s">
        <v>379</v>
      </c>
      <c r="B159" s="6" t="s">
        <v>380</v>
      </c>
      <c r="C159" s="6" t="s">
        <v>736</v>
      </c>
      <c r="D159" s="6" t="s">
        <v>366</v>
      </c>
      <c r="E159" s="6" t="s">
        <v>728</v>
      </c>
      <c r="F159" s="10" t="s">
        <v>240</v>
      </c>
      <c r="G159" s="36" t="b">
        <f t="shared" si="4"/>
        <v>1</v>
      </c>
      <c r="J159" t="s">
        <v>825</v>
      </c>
      <c r="K159" t="s">
        <v>825</v>
      </c>
      <c r="L159" t="s">
        <v>825</v>
      </c>
      <c r="M159" t="str">
        <f t="shared" si="5"/>
        <v>No Match</v>
      </c>
    </row>
    <row r="160" spans="1:13">
      <c r="A160" s="5" t="s">
        <v>612</v>
      </c>
      <c r="B160" s="6" t="s">
        <v>613</v>
      </c>
      <c r="C160" s="6" t="s">
        <v>614</v>
      </c>
      <c r="D160" s="6" t="s">
        <v>493</v>
      </c>
      <c r="E160" s="6" t="s">
        <v>792</v>
      </c>
      <c r="F160" s="16" t="s">
        <v>240</v>
      </c>
      <c r="G160" s="36" t="b">
        <f t="shared" si="4"/>
        <v>1</v>
      </c>
      <c r="J160" t="s">
        <v>825</v>
      </c>
      <c r="K160" t="s">
        <v>825</v>
      </c>
      <c r="L160" t="s">
        <v>825</v>
      </c>
      <c r="M160" t="str">
        <f t="shared" si="5"/>
        <v>No Match</v>
      </c>
    </row>
    <row r="161" spans="1:13">
      <c r="A161" s="5" t="s">
        <v>387</v>
      </c>
      <c r="B161" s="6" t="s">
        <v>388</v>
      </c>
      <c r="C161" s="6" t="s">
        <v>738</v>
      </c>
      <c r="D161" s="6" t="s">
        <v>366</v>
      </c>
      <c r="E161" s="7" t="s">
        <v>639</v>
      </c>
      <c r="F161" s="10" t="s">
        <v>11</v>
      </c>
      <c r="G161" s="36" t="b">
        <f t="shared" si="4"/>
        <v>1</v>
      </c>
      <c r="J161">
        <v>94</v>
      </c>
      <c r="K161" s="47">
        <v>3.9999999999999999E-47</v>
      </c>
      <c r="L161">
        <v>44.56</v>
      </c>
      <c r="M161" t="str">
        <f t="shared" si="5"/>
        <v>Match</v>
      </c>
    </row>
    <row r="162" spans="1:13">
      <c r="A162" s="5" t="s">
        <v>464</v>
      </c>
      <c r="B162" s="6" t="s">
        <v>465</v>
      </c>
      <c r="C162" s="12" t="s">
        <v>466</v>
      </c>
      <c r="D162" s="6" t="s">
        <v>427</v>
      </c>
      <c r="E162" s="7" t="s">
        <v>639</v>
      </c>
      <c r="F162" s="10" t="s">
        <v>11</v>
      </c>
      <c r="G162" s="36" t="b">
        <f t="shared" si="4"/>
        <v>1</v>
      </c>
      <c r="J162">
        <v>99</v>
      </c>
      <c r="K162" s="47">
        <v>4.0000000000000001E-46</v>
      </c>
      <c r="L162">
        <v>68.63</v>
      </c>
      <c r="M162" t="str">
        <f t="shared" si="5"/>
        <v>Match</v>
      </c>
    </row>
    <row r="163" spans="1:13">
      <c r="A163" s="5" t="s">
        <v>71</v>
      </c>
      <c r="B163" s="6" t="s">
        <v>72</v>
      </c>
      <c r="C163" s="6" t="s">
        <v>73</v>
      </c>
      <c r="D163" s="6" t="s">
        <v>10</v>
      </c>
      <c r="E163" s="7" t="s">
        <v>639</v>
      </c>
      <c r="F163" s="10" t="s">
        <v>11</v>
      </c>
      <c r="G163" s="36" t="b">
        <f t="shared" si="4"/>
        <v>1</v>
      </c>
      <c r="J163">
        <v>1</v>
      </c>
      <c r="K163">
        <v>0</v>
      </c>
      <c r="L163">
        <v>85.86</v>
      </c>
      <c r="M163" t="str">
        <f t="shared" si="5"/>
        <v>No Match</v>
      </c>
    </row>
    <row r="164" spans="1:13">
      <c r="A164" s="5" t="s">
        <v>371</v>
      </c>
      <c r="B164" s="6" t="s">
        <v>372</v>
      </c>
      <c r="C164" s="6" t="s">
        <v>734</v>
      </c>
      <c r="D164" s="6" t="s">
        <v>366</v>
      </c>
      <c r="E164" s="7" t="s">
        <v>639</v>
      </c>
      <c r="F164" s="10" t="s">
        <v>11</v>
      </c>
      <c r="G164" s="36" t="b">
        <f t="shared" si="4"/>
        <v>1</v>
      </c>
      <c r="J164">
        <v>1</v>
      </c>
      <c r="K164" s="47">
        <v>3.9999999999999997E-77</v>
      </c>
      <c r="L164">
        <v>68.39</v>
      </c>
      <c r="M164" t="str">
        <f t="shared" si="5"/>
        <v>No Match</v>
      </c>
    </row>
    <row r="165" spans="1:13">
      <c r="A165" s="5" t="s">
        <v>369</v>
      </c>
      <c r="B165" s="6" t="s">
        <v>370</v>
      </c>
      <c r="C165" s="6" t="s">
        <v>733</v>
      </c>
      <c r="D165" s="6" t="s">
        <v>366</v>
      </c>
      <c r="E165" s="7" t="s">
        <v>639</v>
      </c>
      <c r="F165" s="10" t="s">
        <v>11</v>
      </c>
      <c r="G165" s="36" t="b">
        <f t="shared" si="4"/>
        <v>1</v>
      </c>
      <c r="J165">
        <v>1</v>
      </c>
      <c r="K165" s="47">
        <v>3.0000000000000001E-94</v>
      </c>
      <c r="L165">
        <v>51.7</v>
      </c>
      <c r="M165" t="str">
        <f t="shared" si="5"/>
        <v>No Match</v>
      </c>
    </row>
    <row r="166" spans="1:13">
      <c r="A166" s="5" t="s">
        <v>615</v>
      </c>
      <c r="B166" s="6" t="s">
        <v>613</v>
      </c>
      <c r="C166" s="6" t="s">
        <v>616</v>
      </c>
      <c r="D166" s="6" t="s">
        <v>493</v>
      </c>
      <c r="E166" s="6" t="s">
        <v>792</v>
      </c>
      <c r="F166" s="10" t="s">
        <v>240</v>
      </c>
      <c r="G166" s="36" t="b">
        <f t="shared" si="4"/>
        <v>1</v>
      </c>
      <c r="J166" t="s">
        <v>825</v>
      </c>
      <c r="K166" t="s">
        <v>825</v>
      </c>
      <c r="L166" t="s">
        <v>825</v>
      </c>
      <c r="M166" t="str">
        <f t="shared" si="5"/>
        <v>No Match</v>
      </c>
    </row>
    <row r="167" spans="1:13">
      <c r="A167" s="5" t="s">
        <v>338</v>
      </c>
      <c r="B167" s="6" t="s">
        <v>339</v>
      </c>
      <c r="C167" s="6" t="s">
        <v>340</v>
      </c>
      <c r="D167" s="12" t="s">
        <v>298</v>
      </c>
      <c r="E167" s="6" t="s">
        <v>693</v>
      </c>
      <c r="F167" s="10" t="s">
        <v>240</v>
      </c>
      <c r="G167" s="36" t="b">
        <f t="shared" si="4"/>
        <v>1</v>
      </c>
      <c r="J167">
        <v>50</v>
      </c>
      <c r="K167" s="47">
        <v>6.0000000000000001E-17</v>
      </c>
      <c r="L167">
        <v>27.78</v>
      </c>
      <c r="M167" t="str">
        <f t="shared" si="5"/>
        <v>No Match</v>
      </c>
    </row>
    <row r="168" spans="1:13">
      <c r="A168" s="5" t="s">
        <v>470</v>
      </c>
      <c r="B168" s="6" t="s">
        <v>459</v>
      </c>
      <c r="C168" s="6" t="s">
        <v>471</v>
      </c>
      <c r="D168" s="6" t="s">
        <v>427</v>
      </c>
      <c r="E168" s="6" t="s">
        <v>747</v>
      </c>
      <c r="F168" s="10" t="s">
        <v>240</v>
      </c>
      <c r="G168" s="36" t="b">
        <f t="shared" si="4"/>
        <v>1</v>
      </c>
      <c r="J168">
        <v>50</v>
      </c>
      <c r="K168" s="47">
        <v>3.9999999999999999E-64</v>
      </c>
      <c r="L168">
        <v>37.659999999999997</v>
      </c>
      <c r="M168" t="str">
        <f t="shared" si="5"/>
        <v>No Match</v>
      </c>
    </row>
    <row r="169" spans="1:13">
      <c r="A169" s="5" t="s">
        <v>425</v>
      </c>
      <c r="B169" s="6" t="s">
        <v>426</v>
      </c>
      <c r="C169" s="6" t="s">
        <v>748</v>
      </c>
      <c r="D169" s="6" t="s">
        <v>427</v>
      </c>
      <c r="E169" s="6" t="s">
        <v>747</v>
      </c>
      <c r="F169" s="10" t="s">
        <v>240</v>
      </c>
      <c r="G169" s="36" t="b">
        <f t="shared" si="4"/>
        <v>1</v>
      </c>
      <c r="J169" t="s">
        <v>825</v>
      </c>
      <c r="K169" t="s">
        <v>825</v>
      </c>
      <c r="L169" t="s">
        <v>825</v>
      </c>
      <c r="M169" t="str">
        <f t="shared" si="5"/>
        <v>No Match</v>
      </c>
    </row>
    <row r="170" spans="1:13">
      <c r="A170" s="14" t="s">
        <v>21</v>
      </c>
      <c r="B170" s="15" t="s">
        <v>22</v>
      </c>
      <c r="C170" s="6" t="s">
        <v>641</v>
      </c>
      <c r="D170" s="6" t="s">
        <v>10</v>
      </c>
      <c r="E170" s="12" t="s">
        <v>640</v>
      </c>
      <c r="F170" s="16" t="s">
        <v>23</v>
      </c>
      <c r="G170" s="36" t="b">
        <f t="shared" si="4"/>
        <v>1</v>
      </c>
      <c r="J170" t="s">
        <v>825</v>
      </c>
      <c r="K170" t="s">
        <v>825</v>
      </c>
      <c r="L170" t="s">
        <v>825</v>
      </c>
      <c r="M170" t="str">
        <f t="shared" si="5"/>
        <v>No Match</v>
      </c>
    </row>
    <row r="171" spans="1:13">
      <c r="A171" s="5" t="s">
        <v>438</v>
      </c>
      <c r="B171" s="6" t="s">
        <v>439</v>
      </c>
      <c r="C171" s="6" t="s">
        <v>440</v>
      </c>
      <c r="D171" s="6" t="s">
        <v>427</v>
      </c>
      <c r="E171" s="6" t="s">
        <v>747</v>
      </c>
      <c r="F171" s="10" t="s">
        <v>240</v>
      </c>
      <c r="G171" s="36" t="b">
        <f t="shared" si="4"/>
        <v>1</v>
      </c>
      <c r="J171" t="s">
        <v>825</v>
      </c>
      <c r="K171" t="s">
        <v>825</v>
      </c>
      <c r="L171" t="s">
        <v>825</v>
      </c>
      <c r="M171" t="str">
        <f t="shared" si="5"/>
        <v>No Match</v>
      </c>
    </row>
    <row r="172" spans="1:13">
      <c r="A172" s="5" t="s">
        <v>583</v>
      </c>
      <c r="B172" s="6" t="s">
        <v>584</v>
      </c>
      <c r="C172" s="6" t="s">
        <v>585</v>
      </c>
      <c r="D172" s="6" t="s">
        <v>493</v>
      </c>
      <c r="E172" s="7" t="s">
        <v>752</v>
      </c>
      <c r="F172" s="10" t="s">
        <v>240</v>
      </c>
      <c r="G172" s="36" t="b">
        <f t="shared" si="4"/>
        <v>1</v>
      </c>
      <c r="J172">
        <v>96</v>
      </c>
      <c r="K172" s="47">
        <v>4.9999999999999999E-46</v>
      </c>
      <c r="L172">
        <v>26.26</v>
      </c>
      <c r="M172" t="str">
        <f t="shared" si="5"/>
        <v>No Match</v>
      </c>
    </row>
    <row r="173" spans="1:13">
      <c r="A173" s="11" t="s">
        <v>296</v>
      </c>
      <c r="B173" s="12" t="s">
        <v>297</v>
      </c>
      <c r="C173" s="6" t="s">
        <v>710</v>
      </c>
      <c r="D173" s="12" t="s">
        <v>298</v>
      </c>
      <c r="E173" s="12" t="s">
        <v>637</v>
      </c>
      <c r="F173" s="10" t="s">
        <v>17</v>
      </c>
      <c r="G173" s="36" t="b">
        <f t="shared" si="4"/>
        <v>1</v>
      </c>
      <c r="J173">
        <v>1</v>
      </c>
      <c r="K173">
        <v>0</v>
      </c>
      <c r="L173">
        <v>57.37</v>
      </c>
      <c r="M173" t="str">
        <f t="shared" si="5"/>
        <v>No Match</v>
      </c>
    </row>
    <row r="174" spans="1:13">
      <c r="A174" s="11" t="s">
        <v>505</v>
      </c>
      <c r="B174" s="12" t="s">
        <v>506</v>
      </c>
      <c r="C174" s="6" t="s">
        <v>765</v>
      </c>
      <c r="D174" s="6" t="s">
        <v>493</v>
      </c>
      <c r="E174" s="12" t="s">
        <v>637</v>
      </c>
      <c r="F174" s="10" t="s">
        <v>17</v>
      </c>
      <c r="G174" s="36" t="b">
        <f t="shared" si="4"/>
        <v>1</v>
      </c>
      <c r="J174">
        <v>72</v>
      </c>
      <c r="K174" s="47">
        <v>7.9999999999999999E-95</v>
      </c>
      <c r="L174">
        <v>50.6</v>
      </c>
      <c r="M174" t="str">
        <f t="shared" si="5"/>
        <v>Match</v>
      </c>
    </row>
    <row r="175" spans="1:13">
      <c r="A175" s="11" t="s">
        <v>539</v>
      </c>
      <c r="B175" s="12" t="s">
        <v>540</v>
      </c>
      <c r="C175" s="6" t="s">
        <v>778</v>
      </c>
      <c r="D175" s="6" t="s">
        <v>493</v>
      </c>
      <c r="E175" s="12" t="s">
        <v>637</v>
      </c>
      <c r="F175" s="10" t="s">
        <v>280</v>
      </c>
      <c r="G175" s="36" t="b">
        <f t="shared" si="4"/>
        <v>1</v>
      </c>
      <c r="J175">
        <v>92</v>
      </c>
      <c r="K175">
        <v>0</v>
      </c>
      <c r="L175">
        <v>71.55</v>
      </c>
      <c r="M175" t="str">
        <f t="shared" si="5"/>
        <v>Match</v>
      </c>
    </row>
    <row r="176" spans="1:13">
      <c r="A176" s="11" t="s">
        <v>554</v>
      </c>
      <c r="B176" s="12" t="s">
        <v>555</v>
      </c>
      <c r="C176" s="6" t="s">
        <v>782</v>
      </c>
      <c r="D176" s="6" t="s">
        <v>493</v>
      </c>
      <c r="E176" s="12" t="s">
        <v>655</v>
      </c>
      <c r="F176" s="10" t="s">
        <v>14</v>
      </c>
      <c r="G176" s="36" t="b">
        <f t="shared" si="4"/>
        <v>1</v>
      </c>
      <c r="J176">
        <v>75</v>
      </c>
      <c r="K176" s="47">
        <v>1E-51</v>
      </c>
      <c r="L176">
        <v>56.67</v>
      </c>
      <c r="M176" t="str">
        <f t="shared" si="5"/>
        <v>Match</v>
      </c>
    </row>
    <row r="177" spans="1:13">
      <c r="A177" s="11" t="s">
        <v>65</v>
      </c>
      <c r="B177" s="12" t="s">
        <v>66</v>
      </c>
      <c r="C177" s="6" t="s">
        <v>656</v>
      </c>
      <c r="D177" s="12" t="s">
        <v>10</v>
      </c>
      <c r="E177" s="12" t="s">
        <v>655</v>
      </c>
      <c r="F177" s="10" t="s">
        <v>17</v>
      </c>
      <c r="G177" s="36" t="b">
        <f t="shared" si="4"/>
        <v>1</v>
      </c>
      <c r="J177" t="s">
        <v>825</v>
      </c>
      <c r="K177" t="s">
        <v>825</v>
      </c>
      <c r="L177" t="s">
        <v>825</v>
      </c>
      <c r="M177" t="str">
        <f t="shared" si="5"/>
        <v>No Match</v>
      </c>
    </row>
    <row r="178" spans="1:13">
      <c r="A178" s="5" t="s">
        <v>67</v>
      </c>
      <c r="B178" s="6" t="s">
        <v>68</v>
      </c>
      <c r="C178" s="6" t="s">
        <v>657</v>
      </c>
      <c r="D178" s="6" t="s">
        <v>10</v>
      </c>
      <c r="E178" s="6" t="s">
        <v>635</v>
      </c>
      <c r="F178" s="10" t="s">
        <v>14</v>
      </c>
      <c r="G178" s="36" t="b">
        <f t="shared" si="4"/>
        <v>1</v>
      </c>
      <c r="J178">
        <v>75</v>
      </c>
      <c r="K178" s="47">
        <v>5.0000000000000002E-55</v>
      </c>
      <c r="L178">
        <v>63.07</v>
      </c>
      <c r="M178" t="str">
        <f t="shared" si="5"/>
        <v>Match</v>
      </c>
    </row>
    <row r="179" spans="1:13">
      <c r="A179" s="5" t="s">
        <v>389</v>
      </c>
      <c r="B179" s="6" t="s">
        <v>390</v>
      </c>
      <c r="C179" s="6" t="s">
        <v>739</v>
      </c>
      <c r="D179" s="6" t="s">
        <v>366</v>
      </c>
      <c r="E179" s="6" t="s">
        <v>726</v>
      </c>
      <c r="F179" s="10" t="s">
        <v>283</v>
      </c>
      <c r="G179" s="36" t="b">
        <f t="shared" si="4"/>
        <v>1</v>
      </c>
      <c r="J179">
        <v>1</v>
      </c>
      <c r="K179">
        <v>0</v>
      </c>
      <c r="L179">
        <v>59.83</v>
      </c>
      <c r="M179" t="str">
        <f t="shared" si="5"/>
        <v>No Match</v>
      </c>
    </row>
    <row r="180" spans="1:13">
      <c r="A180" s="5" t="s">
        <v>331</v>
      </c>
      <c r="B180" s="6" t="s">
        <v>332</v>
      </c>
      <c r="C180" s="6" t="s">
        <v>723</v>
      </c>
      <c r="D180" s="6" t="s">
        <v>298</v>
      </c>
      <c r="E180" s="6" t="s">
        <v>704</v>
      </c>
      <c r="F180" s="10" t="s">
        <v>283</v>
      </c>
      <c r="G180" s="36" t="b">
        <f t="shared" si="4"/>
        <v>1</v>
      </c>
      <c r="J180">
        <v>1</v>
      </c>
      <c r="K180" s="47">
        <v>9.9999999999999995E-145</v>
      </c>
      <c r="L180">
        <v>49.05</v>
      </c>
      <c r="M180" t="str">
        <f t="shared" si="5"/>
        <v>No Match</v>
      </c>
    </row>
    <row r="181" spans="1:13">
      <c r="A181" s="5" t="s">
        <v>546</v>
      </c>
      <c r="B181" s="6" t="s">
        <v>547</v>
      </c>
      <c r="C181" s="6" t="s">
        <v>781</v>
      </c>
      <c r="D181" s="21" t="s">
        <v>493</v>
      </c>
      <c r="E181" s="6" t="s">
        <v>780</v>
      </c>
      <c r="F181" s="16" t="s">
        <v>283</v>
      </c>
      <c r="G181" s="36" t="b">
        <f t="shared" si="4"/>
        <v>1</v>
      </c>
      <c r="J181">
        <v>99</v>
      </c>
      <c r="K181" s="47">
        <v>6.9999999999999997E-99</v>
      </c>
      <c r="L181">
        <v>63.83</v>
      </c>
      <c r="M181" t="str">
        <f t="shared" si="5"/>
        <v>Match</v>
      </c>
    </row>
    <row r="182" spans="1:13">
      <c r="A182" s="5" t="s">
        <v>452</v>
      </c>
      <c r="B182" s="6" t="s">
        <v>453</v>
      </c>
      <c r="C182" s="6" t="s">
        <v>454</v>
      </c>
      <c r="D182" s="6" t="s">
        <v>427</v>
      </c>
      <c r="E182" s="6" t="s">
        <v>754</v>
      </c>
      <c r="F182" s="10" t="s">
        <v>240</v>
      </c>
      <c r="G182" s="36" t="b">
        <f t="shared" si="4"/>
        <v>1</v>
      </c>
      <c r="J182">
        <v>1</v>
      </c>
      <c r="K182" s="47">
        <v>3.9999999999999997E-49</v>
      </c>
      <c r="L182">
        <v>36.72</v>
      </c>
      <c r="M182" t="str">
        <f t="shared" si="5"/>
        <v>No Match</v>
      </c>
    </row>
    <row r="183" spans="1:13">
      <c r="A183" s="11" t="s">
        <v>321</v>
      </c>
      <c r="B183" s="12" t="s">
        <v>322</v>
      </c>
      <c r="C183" s="6" t="s">
        <v>717</v>
      </c>
      <c r="D183" s="12" t="s">
        <v>298</v>
      </c>
      <c r="E183" s="23" t="s">
        <v>716</v>
      </c>
      <c r="F183" s="10" t="s">
        <v>17</v>
      </c>
      <c r="G183" s="36" t="b">
        <f t="shared" si="4"/>
        <v>1</v>
      </c>
      <c r="J183">
        <v>97</v>
      </c>
      <c r="K183" s="47">
        <v>9.9999999999999997E-155</v>
      </c>
      <c r="L183">
        <v>62.77</v>
      </c>
      <c r="M183" t="str">
        <f t="shared" si="5"/>
        <v>Match</v>
      </c>
    </row>
    <row r="184" spans="1:13">
      <c r="A184" s="11" t="s">
        <v>406</v>
      </c>
      <c r="B184" s="12" t="s">
        <v>407</v>
      </c>
      <c r="C184" s="6" t="s">
        <v>742</v>
      </c>
      <c r="D184" s="12" t="s">
        <v>400</v>
      </c>
      <c r="E184" s="19" t="s">
        <v>694</v>
      </c>
      <c r="F184" s="10" t="s">
        <v>260</v>
      </c>
      <c r="G184" s="36" t="b">
        <f t="shared" si="4"/>
        <v>1</v>
      </c>
      <c r="J184">
        <v>95</v>
      </c>
      <c r="K184" s="47">
        <v>3.9999999999999998E-23</v>
      </c>
      <c r="L184">
        <v>29.18</v>
      </c>
      <c r="M184" t="str">
        <f t="shared" si="5"/>
        <v>No Match</v>
      </c>
    </row>
    <row r="185" spans="1:13">
      <c r="A185" s="20" t="s">
        <v>266</v>
      </c>
      <c r="B185" s="21" t="s">
        <v>267</v>
      </c>
      <c r="C185" s="6" t="s">
        <v>698</v>
      </c>
      <c r="D185" s="21" t="s">
        <v>239</v>
      </c>
      <c r="E185" s="21" t="s">
        <v>697</v>
      </c>
      <c r="F185" s="10" t="s">
        <v>268</v>
      </c>
      <c r="G185" s="36" t="b">
        <f t="shared" si="4"/>
        <v>1</v>
      </c>
      <c r="J185" t="s">
        <v>825</v>
      </c>
      <c r="K185" t="s">
        <v>825</v>
      </c>
      <c r="L185" t="s">
        <v>825</v>
      </c>
      <c r="M185" t="str">
        <f t="shared" si="5"/>
        <v>No Match</v>
      </c>
    </row>
    <row r="186" spans="1:13">
      <c r="A186" s="20" t="s">
        <v>518</v>
      </c>
      <c r="B186" s="21" t="s">
        <v>519</v>
      </c>
      <c r="C186" s="6" t="s">
        <v>770</v>
      </c>
      <c r="D186" s="6" t="s">
        <v>493</v>
      </c>
      <c r="E186" s="21" t="s">
        <v>697</v>
      </c>
      <c r="F186" s="10" t="s">
        <v>268</v>
      </c>
      <c r="G186" s="36" t="b">
        <f t="shared" si="4"/>
        <v>1</v>
      </c>
      <c r="J186">
        <v>99</v>
      </c>
      <c r="K186">
        <v>0</v>
      </c>
      <c r="L186">
        <v>79.66</v>
      </c>
      <c r="M186" t="str">
        <f t="shared" si="5"/>
        <v>Match</v>
      </c>
    </row>
    <row r="187" spans="1:13">
      <c r="A187" s="20" t="s">
        <v>514</v>
      </c>
      <c r="B187" s="21" t="s">
        <v>515</v>
      </c>
      <c r="C187" s="6" t="s">
        <v>769</v>
      </c>
      <c r="D187" s="21" t="s">
        <v>493</v>
      </c>
      <c r="E187" s="21" t="s">
        <v>768</v>
      </c>
      <c r="F187" s="16" t="s">
        <v>268</v>
      </c>
      <c r="G187" s="36" t="b">
        <f t="shared" si="4"/>
        <v>1</v>
      </c>
      <c r="J187">
        <v>63</v>
      </c>
      <c r="K187" s="47">
        <v>9.9999999999999998E-20</v>
      </c>
      <c r="L187">
        <v>33.119999999999997</v>
      </c>
      <c r="M187" t="str">
        <f t="shared" si="5"/>
        <v>No Match</v>
      </c>
    </row>
    <row r="188" spans="1:13">
      <c r="A188" s="20" t="s">
        <v>575</v>
      </c>
      <c r="B188" s="21" t="s">
        <v>576</v>
      </c>
      <c r="C188" s="6" t="s">
        <v>786</v>
      </c>
      <c r="D188" s="6" t="s">
        <v>493</v>
      </c>
      <c r="E188" s="21" t="s">
        <v>768</v>
      </c>
      <c r="F188" s="10" t="s">
        <v>268</v>
      </c>
      <c r="G188" s="36" t="b">
        <f t="shared" si="4"/>
        <v>1</v>
      </c>
      <c r="J188">
        <v>99</v>
      </c>
      <c r="K188" s="47">
        <v>9.9999999999999995E-179</v>
      </c>
      <c r="L188">
        <v>63.88</v>
      </c>
      <c r="M188" t="str">
        <f t="shared" si="5"/>
        <v>Match</v>
      </c>
    </row>
    <row r="189" spans="1:13">
      <c r="A189" s="20" t="s">
        <v>408</v>
      </c>
      <c r="B189" s="21" t="s">
        <v>409</v>
      </c>
      <c r="C189" s="6" t="s">
        <v>743</v>
      </c>
      <c r="D189" s="21" t="s">
        <v>400</v>
      </c>
      <c r="E189" s="21" t="s">
        <v>720</v>
      </c>
      <c r="F189" s="10" t="s">
        <v>268</v>
      </c>
      <c r="G189" s="36" t="b">
        <f t="shared" si="4"/>
        <v>1</v>
      </c>
      <c r="J189">
        <v>94</v>
      </c>
      <c r="K189" s="47">
        <v>4.0000000000000002E-101</v>
      </c>
      <c r="L189">
        <v>68.78</v>
      </c>
      <c r="M189" t="str">
        <f t="shared" si="5"/>
        <v>Match</v>
      </c>
    </row>
    <row r="190" spans="1:13">
      <c r="A190" s="20" t="s">
        <v>333</v>
      </c>
      <c r="B190" s="21" t="s">
        <v>334</v>
      </c>
      <c r="C190" s="6" t="s">
        <v>724</v>
      </c>
      <c r="D190" s="21" t="s">
        <v>298</v>
      </c>
      <c r="E190" s="21" t="s">
        <v>720</v>
      </c>
      <c r="F190" s="10" t="s">
        <v>268</v>
      </c>
      <c r="G190" s="36" t="b">
        <f t="shared" si="4"/>
        <v>1</v>
      </c>
      <c r="J190">
        <v>1</v>
      </c>
      <c r="K190">
        <v>0</v>
      </c>
      <c r="L190">
        <v>62.83</v>
      </c>
      <c r="M190" t="str">
        <f t="shared" si="5"/>
        <v>No Match</v>
      </c>
    </row>
    <row r="191" spans="1:13">
      <c r="A191" s="20" t="s">
        <v>327</v>
      </c>
      <c r="B191" s="21" t="s">
        <v>328</v>
      </c>
      <c r="C191" s="6" t="s">
        <v>721</v>
      </c>
      <c r="D191" s="21" t="s">
        <v>298</v>
      </c>
      <c r="E191" s="21" t="s">
        <v>720</v>
      </c>
      <c r="F191" s="10" t="s">
        <v>268</v>
      </c>
      <c r="G191" s="36" t="b">
        <f t="shared" si="4"/>
        <v>1</v>
      </c>
      <c r="J191">
        <v>1</v>
      </c>
      <c r="K191" s="47">
        <v>6.0000000000000003E-96</v>
      </c>
      <c r="L191">
        <v>61.8</v>
      </c>
      <c r="M191" t="str">
        <f t="shared" si="5"/>
        <v>No Match</v>
      </c>
    </row>
    <row r="192" spans="1:13">
      <c r="A192" s="5" t="s">
        <v>430</v>
      </c>
      <c r="B192" s="6" t="s">
        <v>431</v>
      </c>
      <c r="C192" s="6" t="s">
        <v>432</v>
      </c>
      <c r="D192" s="6" t="s">
        <v>427</v>
      </c>
      <c r="E192" s="6" t="s">
        <v>749</v>
      </c>
      <c r="F192" s="10" t="s">
        <v>240</v>
      </c>
      <c r="G192" s="36" t="b">
        <f t="shared" si="4"/>
        <v>1</v>
      </c>
      <c r="J192">
        <v>94</v>
      </c>
      <c r="K192" s="47">
        <v>1E-83</v>
      </c>
      <c r="L192">
        <v>41.69</v>
      </c>
      <c r="M192" t="str">
        <f t="shared" si="5"/>
        <v>Match</v>
      </c>
    </row>
    <row r="193" spans="1:13">
      <c r="A193" s="5" t="s">
        <v>433</v>
      </c>
      <c r="B193" s="6" t="s">
        <v>434</v>
      </c>
      <c r="C193" s="6" t="s">
        <v>751</v>
      </c>
      <c r="D193" s="6" t="s">
        <v>427</v>
      </c>
      <c r="E193" s="6" t="s">
        <v>749</v>
      </c>
      <c r="F193" s="10" t="s">
        <v>240</v>
      </c>
      <c r="G193" s="36" t="b">
        <f t="shared" si="4"/>
        <v>1</v>
      </c>
      <c r="J193">
        <v>94</v>
      </c>
      <c r="K193" s="47">
        <v>5.0000000000000001E-126</v>
      </c>
      <c r="L193">
        <v>37.69</v>
      </c>
      <c r="M193" t="str">
        <f t="shared" si="5"/>
        <v>No Match</v>
      </c>
    </row>
    <row r="194" spans="1:13">
      <c r="A194" s="5" t="s">
        <v>373</v>
      </c>
      <c r="B194" s="6" t="s">
        <v>374</v>
      </c>
      <c r="C194" s="6" t="s">
        <v>375</v>
      </c>
      <c r="D194" s="6" t="s">
        <v>366</v>
      </c>
      <c r="E194" s="7" t="s">
        <v>735</v>
      </c>
      <c r="F194" s="10" t="s">
        <v>240</v>
      </c>
      <c r="G194" s="36" t="b">
        <f t="shared" si="4"/>
        <v>1</v>
      </c>
      <c r="J194" t="s">
        <v>825</v>
      </c>
      <c r="K194" t="s">
        <v>825</v>
      </c>
      <c r="L194" t="s">
        <v>825</v>
      </c>
      <c r="M194" t="str">
        <f t="shared" si="5"/>
        <v>No Match</v>
      </c>
    </row>
    <row r="195" spans="1:13">
      <c r="A195" s="11" t="s">
        <v>384</v>
      </c>
      <c r="B195" s="6" t="s">
        <v>385</v>
      </c>
      <c r="C195" s="6" t="s">
        <v>386</v>
      </c>
      <c r="D195" s="6" t="s">
        <v>366</v>
      </c>
      <c r="E195" s="6" t="s">
        <v>737</v>
      </c>
      <c r="F195" s="10" t="s">
        <v>240</v>
      </c>
      <c r="G195" s="36" t="b">
        <f t="shared" ref="G195:G244" si="6">RIGHT(TRIM(C195),2)=".1"</f>
        <v>1</v>
      </c>
      <c r="J195" t="s">
        <v>825</v>
      </c>
      <c r="K195" t="s">
        <v>825</v>
      </c>
      <c r="L195" t="s">
        <v>825</v>
      </c>
      <c r="M195" t="str">
        <f t="shared" ref="M195:M242" si="7">IF(AND(ISNUMBER(L195),L195&gt;=40,ISNUMBER(J195),J195&gt;=70),"Match","No Match")</f>
        <v>No Match</v>
      </c>
    </row>
    <row r="196" spans="1:13">
      <c r="A196" s="5" t="s">
        <v>556</v>
      </c>
      <c r="B196" s="6" t="s">
        <v>385</v>
      </c>
      <c r="C196" s="6" t="s">
        <v>557</v>
      </c>
      <c r="D196" s="6" t="s">
        <v>493</v>
      </c>
      <c r="E196" s="6" t="s">
        <v>737</v>
      </c>
      <c r="F196" s="10" t="s">
        <v>240</v>
      </c>
      <c r="G196" s="36" t="b">
        <f t="shared" si="6"/>
        <v>1</v>
      </c>
      <c r="J196">
        <v>64</v>
      </c>
      <c r="K196" s="47">
        <v>2.0000000000000001E-117</v>
      </c>
      <c r="L196">
        <v>60</v>
      </c>
      <c r="M196" t="str">
        <f t="shared" si="7"/>
        <v>No Match</v>
      </c>
    </row>
    <row r="197" spans="1:13">
      <c r="A197" s="5" t="s">
        <v>381</v>
      </c>
      <c r="B197" s="6" t="s">
        <v>382</v>
      </c>
      <c r="C197" s="6" t="s">
        <v>383</v>
      </c>
      <c r="D197" s="6" t="s">
        <v>366</v>
      </c>
      <c r="E197" s="7" t="s">
        <v>735</v>
      </c>
      <c r="F197" s="10" t="s">
        <v>240</v>
      </c>
      <c r="G197" s="36" t="b">
        <f t="shared" si="6"/>
        <v>1</v>
      </c>
      <c r="J197" t="s">
        <v>825</v>
      </c>
      <c r="K197" t="s">
        <v>825</v>
      </c>
      <c r="L197" t="s">
        <v>825</v>
      </c>
      <c r="M197" t="str">
        <f t="shared" si="7"/>
        <v>No Match</v>
      </c>
    </row>
    <row r="198" spans="1:13">
      <c r="A198" s="5" t="s">
        <v>394</v>
      </c>
      <c r="B198" s="6" t="s">
        <v>395</v>
      </c>
      <c r="C198" s="6" t="s">
        <v>396</v>
      </c>
      <c r="D198" s="6" t="s">
        <v>397</v>
      </c>
      <c r="E198" s="7" t="s">
        <v>740</v>
      </c>
      <c r="F198" s="10" t="s">
        <v>240</v>
      </c>
      <c r="G198" s="36" t="b">
        <f t="shared" si="6"/>
        <v>1</v>
      </c>
      <c r="J198">
        <v>95</v>
      </c>
      <c r="K198">
        <v>0</v>
      </c>
      <c r="L198">
        <v>50.67</v>
      </c>
      <c r="M198" t="str">
        <f t="shared" si="7"/>
        <v>Match</v>
      </c>
    </row>
    <row r="199" spans="1:13">
      <c r="A199" s="5"/>
      <c r="B199" s="6" t="s">
        <v>476</v>
      </c>
      <c r="C199" s="6" t="s">
        <v>477</v>
      </c>
      <c r="D199" s="6" t="s">
        <v>427</v>
      </c>
      <c r="E199" s="6" t="s">
        <v>747</v>
      </c>
      <c r="F199" s="10" t="s">
        <v>240</v>
      </c>
      <c r="G199" s="36" t="b">
        <f t="shared" si="6"/>
        <v>1</v>
      </c>
      <c r="J199">
        <v>44</v>
      </c>
      <c r="K199" s="47">
        <v>1.0000000000000001E-17</v>
      </c>
      <c r="L199">
        <v>28.08</v>
      </c>
      <c r="M199" t="str">
        <f t="shared" si="7"/>
        <v>No Match</v>
      </c>
    </row>
    <row r="200" spans="1:13">
      <c r="A200" s="5" t="s">
        <v>588</v>
      </c>
      <c r="B200" s="6" t="s">
        <v>589</v>
      </c>
      <c r="C200" s="6" t="s">
        <v>590</v>
      </c>
      <c r="D200" s="6" t="s">
        <v>493</v>
      </c>
      <c r="E200" s="24" t="s">
        <v>788</v>
      </c>
      <c r="F200" s="10" t="s">
        <v>240</v>
      </c>
      <c r="G200" s="36" t="b">
        <f t="shared" si="6"/>
        <v>1</v>
      </c>
      <c r="J200">
        <v>86</v>
      </c>
      <c r="K200" s="47">
        <v>4.9999999999999996E-40</v>
      </c>
      <c r="L200">
        <v>30.47</v>
      </c>
      <c r="M200" t="str">
        <f t="shared" si="7"/>
        <v>No Match</v>
      </c>
    </row>
    <row r="201" spans="1:13">
      <c r="A201" s="5" t="s">
        <v>281</v>
      </c>
      <c r="B201" s="6" t="s">
        <v>282</v>
      </c>
      <c r="C201" s="6" t="s">
        <v>705</v>
      </c>
      <c r="D201" s="9" t="s">
        <v>239</v>
      </c>
      <c r="E201" s="29" t="s">
        <v>704</v>
      </c>
      <c r="F201" s="26" t="s">
        <v>283</v>
      </c>
      <c r="G201" s="36" t="b">
        <f t="shared" si="6"/>
        <v>1</v>
      </c>
      <c r="J201">
        <v>1</v>
      </c>
      <c r="K201" s="47">
        <v>7.0000000000000004E-115</v>
      </c>
      <c r="L201">
        <v>46.85</v>
      </c>
      <c r="M201" t="str">
        <f t="shared" si="7"/>
        <v>No Match</v>
      </c>
    </row>
    <row r="202" spans="1:13">
      <c r="A202" s="14" t="s">
        <v>523</v>
      </c>
      <c r="B202" s="15" t="s">
        <v>524</v>
      </c>
      <c r="C202" s="6" t="s">
        <v>773</v>
      </c>
      <c r="D202" s="6" t="s">
        <v>493</v>
      </c>
      <c r="E202" s="32" t="s">
        <v>729</v>
      </c>
      <c r="F202" s="10" t="s">
        <v>23</v>
      </c>
      <c r="G202" s="36" t="b">
        <f t="shared" si="6"/>
        <v>1</v>
      </c>
      <c r="J202" t="s">
        <v>825</v>
      </c>
      <c r="K202" t="s">
        <v>825</v>
      </c>
      <c r="L202" t="s">
        <v>825</v>
      </c>
      <c r="M202" t="str">
        <f t="shared" si="7"/>
        <v>No Match</v>
      </c>
    </row>
    <row r="203" spans="1:13">
      <c r="A203" s="5" t="s">
        <v>458</v>
      </c>
      <c r="B203" s="6" t="s">
        <v>459</v>
      </c>
      <c r="C203" s="6" t="s">
        <v>460</v>
      </c>
      <c r="D203" s="6" t="s">
        <v>427</v>
      </c>
      <c r="E203" s="6" t="s">
        <v>749</v>
      </c>
      <c r="F203" s="16" t="s">
        <v>240</v>
      </c>
      <c r="G203" s="36" t="b">
        <f t="shared" si="6"/>
        <v>1</v>
      </c>
      <c r="J203">
        <v>65</v>
      </c>
      <c r="K203" s="47">
        <v>4.9999999999999999E-17</v>
      </c>
      <c r="L203">
        <v>24.52</v>
      </c>
      <c r="M203" t="str">
        <f t="shared" si="7"/>
        <v>No Match</v>
      </c>
    </row>
    <row r="204" spans="1:13">
      <c r="A204" s="5" t="s">
        <v>461</v>
      </c>
      <c r="B204" s="6" t="s">
        <v>462</v>
      </c>
      <c r="C204" s="6" t="s">
        <v>463</v>
      </c>
      <c r="D204" s="6" t="s">
        <v>427</v>
      </c>
      <c r="E204" s="6" t="s">
        <v>749</v>
      </c>
      <c r="F204" s="10" t="s">
        <v>240</v>
      </c>
      <c r="G204" s="36" t="b">
        <f t="shared" si="6"/>
        <v>1</v>
      </c>
      <c r="J204" t="s">
        <v>825</v>
      </c>
      <c r="K204" t="s">
        <v>825</v>
      </c>
      <c r="L204" t="s">
        <v>825</v>
      </c>
      <c r="M204" t="str">
        <f t="shared" si="7"/>
        <v>No Match</v>
      </c>
    </row>
    <row r="205" spans="1:13">
      <c r="A205" s="5" t="s">
        <v>273</v>
      </c>
      <c r="B205" s="6" t="s">
        <v>274</v>
      </c>
      <c r="C205" s="6" t="s">
        <v>275</v>
      </c>
      <c r="D205" s="6" t="s">
        <v>239</v>
      </c>
      <c r="E205" s="24" t="s">
        <v>701</v>
      </c>
      <c r="F205" s="10" t="s">
        <v>240</v>
      </c>
      <c r="G205" s="36" t="b">
        <f t="shared" si="6"/>
        <v>1</v>
      </c>
      <c r="J205" t="s">
        <v>825</v>
      </c>
      <c r="K205" t="s">
        <v>825</v>
      </c>
      <c r="L205" t="s">
        <v>825</v>
      </c>
      <c r="M205" t="str">
        <f t="shared" si="7"/>
        <v>No Match</v>
      </c>
    </row>
    <row r="206" spans="1:13">
      <c r="A206" s="5" t="s">
        <v>224</v>
      </c>
      <c r="B206" s="6" t="s">
        <v>225</v>
      </c>
      <c r="C206" s="12" t="s">
        <v>226</v>
      </c>
      <c r="D206" s="9" t="s">
        <v>199</v>
      </c>
      <c r="E206" s="31" t="s">
        <v>639</v>
      </c>
      <c r="F206" s="26" t="s">
        <v>11</v>
      </c>
      <c r="G206" s="36" t="b">
        <f t="shared" si="6"/>
        <v>1</v>
      </c>
      <c r="J206">
        <v>92</v>
      </c>
      <c r="K206" s="47">
        <v>1E-83</v>
      </c>
      <c r="L206">
        <v>46.05</v>
      </c>
      <c r="M206" t="str">
        <f t="shared" si="7"/>
        <v>Match</v>
      </c>
    </row>
    <row r="207" spans="1:13">
      <c r="A207" s="5" t="s">
        <v>532</v>
      </c>
      <c r="B207" s="6" t="s">
        <v>533</v>
      </c>
      <c r="C207" s="6" t="s">
        <v>776</v>
      </c>
      <c r="D207" s="9" t="s">
        <v>493</v>
      </c>
      <c r="E207" s="31" t="s">
        <v>639</v>
      </c>
      <c r="F207" s="26" t="s">
        <v>11</v>
      </c>
      <c r="G207" s="36" t="b">
        <f t="shared" si="6"/>
        <v>1</v>
      </c>
      <c r="J207">
        <v>89</v>
      </c>
      <c r="K207" s="47">
        <v>8.9999999999999995E-23</v>
      </c>
      <c r="L207">
        <v>58.33</v>
      </c>
      <c r="M207" t="str">
        <f t="shared" si="7"/>
        <v>Match</v>
      </c>
    </row>
    <row r="208" spans="1:13">
      <c r="A208" s="11" t="s">
        <v>261</v>
      </c>
      <c r="B208" s="12" t="s">
        <v>262</v>
      </c>
      <c r="C208" s="6" t="s">
        <v>695</v>
      </c>
      <c r="D208" s="13" t="s">
        <v>239</v>
      </c>
      <c r="E208" s="38" t="s">
        <v>694</v>
      </c>
      <c r="F208" s="26" t="s">
        <v>263</v>
      </c>
      <c r="G208" s="36" t="b">
        <f t="shared" si="6"/>
        <v>1</v>
      </c>
      <c r="J208">
        <v>99</v>
      </c>
      <c r="K208">
        <v>0</v>
      </c>
      <c r="L208">
        <v>62.67</v>
      </c>
      <c r="M208" t="str">
        <f t="shared" si="7"/>
        <v>Match</v>
      </c>
    </row>
    <row r="209" spans="1:13">
      <c r="A209" s="5" t="s">
        <v>347</v>
      </c>
      <c r="B209" s="6" t="s">
        <v>348</v>
      </c>
      <c r="C209" s="6" t="s">
        <v>349</v>
      </c>
      <c r="D209" s="9" t="s">
        <v>350</v>
      </c>
      <c r="E209" s="29" t="s">
        <v>728</v>
      </c>
      <c r="F209" s="30" t="s">
        <v>240</v>
      </c>
      <c r="G209" s="36" t="b">
        <f t="shared" si="6"/>
        <v>1</v>
      </c>
      <c r="J209" t="s">
        <v>825</v>
      </c>
      <c r="K209" t="s">
        <v>825</v>
      </c>
      <c r="L209" t="s">
        <v>825</v>
      </c>
      <c r="M209" t="str">
        <f t="shared" si="7"/>
        <v>No Match</v>
      </c>
    </row>
    <row r="210" spans="1:13">
      <c r="A210" s="5" t="s">
        <v>435</v>
      </c>
      <c r="B210" s="6" t="s">
        <v>436</v>
      </c>
      <c r="C210" s="6" t="s">
        <v>437</v>
      </c>
      <c r="D210" s="9" t="s">
        <v>427</v>
      </c>
      <c r="E210" s="29" t="s">
        <v>749</v>
      </c>
      <c r="F210" s="30" t="s">
        <v>240</v>
      </c>
      <c r="G210" s="36" t="b">
        <f t="shared" si="6"/>
        <v>1</v>
      </c>
      <c r="J210">
        <v>86</v>
      </c>
      <c r="K210" s="47">
        <v>7.0000000000000001E-63</v>
      </c>
      <c r="L210">
        <v>46.36</v>
      </c>
      <c r="M210" t="str">
        <f t="shared" si="7"/>
        <v>Match</v>
      </c>
    </row>
    <row r="211" spans="1:13">
      <c r="A211" s="5"/>
      <c r="B211" s="6" t="s">
        <v>480</v>
      </c>
      <c r="C211" s="6" t="s">
        <v>481</v>
      </c>
      <c r="D211" s="9" t="s">
        <v>427</v>
      </c>
      <c r="E211" s="29" t="s">
        <v>759</v>
      </c>
      <c r="F211" s="30" t="s">
        <v>240</v>
      </c>
      <c r="G211" s="36" t="b">
        <f t="shared" si="6"/>
        <v>1</v>
      </c>
      <c r="J211" t="s">
        <v>825</v>
      </c>
      <c r="K211" t="s">
        <v>825</v>
      </c>
      <c r="L211" t="s">
        <v>825</v>
      </c>
      <c r="M211" t="str">
        <f t="shared" si="7"/>
        <v>No Match</v>
      </c>
    </row>
    <row r="212" spans="1:13">
      <c r="A212" s="5" t="s">
        <v>236</v>
      </c>
      <c r="B212" s="6" t="s">
        <v>237</v>
      </c>
      <c r="C212" s="6" t="s">
        <v>238</v>
      </c>
      <c r="D212" s="9" t="s">
        <v>239</v>
      </c>
      <c r="E212" s="31" t="s">
        <v>686</v>
      </c>
      <c r="F212" s="30" t="s">
        <v>240</v>
      </c>
      <c r="G212" s="36" t="b">
        <f t="shared" si="6"/>
        <v>1</v>
      </c>
      <c r="J212">
        <v>99</v>
      </c>
      <c r="K212" s="47">
        <v>2E-41</v>
      </c>
      <c r="L212">
        <v>32.54</v>
      </c>
      <c r="M212" t="str">
        <f t="shared" si="7"/>
        <v>No Match</v>
      </c>
    </row>
    <row r="213" spans="1:13">
      <c r="A213" s="5" t="s">
        <v>455</v>
      </c>
      <c r="B213" s="6" t="s">
        <v>456</v>
      </c>
      <c r="C213" s="6" t="s">
        <v>457</v>
      </c>
      <c r="D213" s="9" t="s">
        <v>427</v>
      </c>
      <c r="E213" s="31" t="s">
        <v>686</v>
      </c>
      <c r="F213" s="30" t="s">
        <v>240</v>
      </c>
      <c r="G213" s="36" t="b">
        <f t="shared" si="6"/>
        <v>1</v>
      </c>
      <c r="J213">
        <v>95</v>
      </c>
      <c r="K213" s="47">
        <v>2.0000000000000001E-123</v>
      </c>
      <c r="L213">
        <v>39.729999999999997</v>
      </c>
      <c r="M213" t="str">
        <f t="shared" si="7"/>
        <v>No Match</v>
      </c>
    </row>
    <row r="214" spans="1:13">
      <c r="A214" s="5" t="s">
        <v>472</v>
      </c>
      <c r="B214" s="50" t="s">
        <v>473</v>
      </c>
      <c r="C214" s="6" t="s">
        <v>758</v>
      </c>
      <c r="D214" s="9" t="s">
        <v>427</v>
      </c>
      <c r="E214" s="29" t="s">
        <v>757</v>
      </c>
      <c r="F214" s="30" t="s">
        <v>240</v>
      </c>
      <c r="G214" s="36" t="b">
        <f t="shared" si="6"/>
        <v>1</v>
      </c>
      <c r="J214" t="s">
        <v>825</v>
      </c>
      <c r="K214" t="s">
        <v>825</v>
      </c>
      <c r="L214" t="s">
        <v>825</v>
      </c>
      <c r="M214" t="str">
        <f t="shared" si="7"/>
        <v>No Match</v>
      </c>
    </row>
    <row r="215" spans="1:13">
      <c r="A215" s="5" t="s">
        <v>441</v>
      </c>
      <c r="B215" s="6" t="s">
        <v>442</v>
      </c>
      <c r="C215" s="6" t="s">
        <v>443</v>
      </c>
      <c r="D215" s="9" t="s">
        <v>427</v>
      </c>
      <c r="E215" s="31" t="s">
        <v>752</v>
      </c>
      <c r="F215" s="30" t="s">
        <v>240</v>
      </c>
      <c r="G215" s="36" t="b">
        <f t="shared" si="6"/>
        <v>1</v>
      </c>
      <c r="J215">
        <v>90</v>
      </c>
      <c r="K215" s="47">
        <v>9.9999999999999998E-46</v>
      </c>
      <c r="L215">
        <v>54.81</v>
      </c>
      <c r="M215" t="str">
        <f t="shared" si="7"/>
        <v>Match</v>
      </c>
    </row>
    <row r="216" spans="1:13">
      <c r="A216" s="11" t="s">
        <v>247</v>
      </c>
      <c r="B216" s="12" t="s">
        <v>248</v>
      </c>
      <c r="C216" s="6" t="s">
        <v>688</v>
      </c>
      <c r="D216" s="12" t="s">
        <v>239</v>
      </c>
      <c r="E216" s="32" t="s">
        <v>655</v>
      </c>
      <c r="F216" s="10" t="s">
        <v>249</v>
      </c>
      <c r="G216" s="36" t="b">
        <f t="shared" si="6"/>
        <v>1</v>
      </c>
      <c r="J216" t="s">
        <v>825</v>
      </c>
      <c r="K216" t="s">
        <v>825</v>
      </c>
      <c r="L216" t="s">
        <v>825</v>
      </c>
      <c r="M216" t="str">
        <f t="shared" si="7"/>
        <v>No Match</v>
      </c>
    </row>
    <row r="217" spans="1:13">
      <c r="A217" s="20" t="s">
        <v>398</v>
      </c>
      <c r="B217" s="21" t="s">
        <v>399</v>
      </c>
      <c r="C217" s="6" t="s">
        <v>741</v>
      </c>
      <c r="D217" s="21" t="s">
        <v>400</v>
      </c>
      <c r="E217" s="21" t="s">
        <v>720</v>
      </c>
      <c r="F217" s="10" t="s">
        <v>268</v>
      </c>
      <c r="G217" s="36" t="b">
        <f t="shared" si="6"/>
        <v>1</v>
      </c>
      <c r="J217">
        <v>89</v>
      </c>
      <c r="K217" s="47">
        <v>6.9999999999999995E-60</v>
      </c>
      <c r="L217">
        <v>45.04</v>
      </c>
      <c r="M217" t="str">
        <f t="shared" si="7"/>
        <v>Match</v>
      </c>
    </row>
    <row r="218" spans="1:13">
      <c r="A218" s="5" t="s">
        <v>376</v>
      </c>
      <c r="B218" s="6" t="s">
        <v>377</v>
      </c>
      <c r="C218" s="6" t="s">
        <v>378</v>
      </c>
      <c r="D218" s="6" t="s">
        <v>366</v>
      </c>
      <c r="E218" s="6" t="s">
        <v>728</v>
      </c>
      <c r="F218" s="10" t="s">
        <v>240</v>
      </c>
      <c r="G218" s="36" t="b">
        <f t="shared" si="6"/>
        <v>1</v>
      </c>
      <c r="J218" t="s">
        <v>825</v>
      </c>
      <c r="K218" t="s">
        <v>825</v>
      </c>
      <c r="L218" t="s">
        <v>825</v>
      </c>
      <c r="M218" t="str">
        <f t="shared" si="7"/>
        <v>No Match</v>
      </c>
    </row>
    <row r="219" spans="1:13">
      <c r="A219" s="14" t="s">
        <v>596</v>
      </c>
      <c r="B219" s="15" t="s">
        <v>563</v>
      </c>
      <c r="C219" s="6" t="s">
        <v>597</v>
      </c>
      <c r="D219" s="6" t="s">
        <v>493</v>
      </c>
      <c r="E219" s="28" t="s">
        <v>642</v>
      </c>
      <c r="F219" s="10" t="s">
        <v>23</v>
      </c>
      <c r="G219" s="36" t="b">
        <f t="shared" si="6"/>
        <v>1</v>
      </c>
      <c r="J219" t="s">
        <v>825</v>
      </c>
      <c r="K219" t="s">
        <v>825</v>
      </c>
      <c r="L219" t="s">
        <v>825</v>
      </c>
      <c r="M219" t="str">
        <f t="shared" si="7"/>
        <v>No Match</v>
      </c>
    </row>
    <row r="220" spans="1:13">
      <c r="A220" s="37" t="s">
        <v>54</v>
      </c>
      <c r="B220" s="15" t="s">
        <v>55</v>
      </c>
      <c r="C220" s="6" t="s">
        <v>654</v>
      </c>
      <c r="D220" s="9" t="s">
        <v>10</v>
      </c>
      <c r="E220" s="25" t="s">
        <v>653</v>
      </c>
      <c r="F220" s="26" t="s">
        <v>23</v>
      </c>
      <c r="G220" s="36" t="b">
        <f t="shared" si="6"/>
        <v>1</v>
      </c>
      <c r="J220">
        <v>94</v>
      </c>
      <c r="K220" s="47">
        <v>8.9999999999999993E-161</v>
      </c>
      <c r="L220">
        <v>31.11</v>
      </c>
      <c r="M220" t="str">
        <f t="shared" si="7"/>
        <v>No Match</v>
      </c>
    </row>
    <row r="221" spans="1:13">
      <c r="A221" s="37" t="s">
        <v>38</v>
      </c>
      <c r="B221" s="15" t="s">
        <v>39</v>
      </c>
      <c r="C221" s="6" t="s">
        <v>646</v>
      </c>
      <c r="D221" s="6" t="s">
        <v>10</v>
      </c>
      <c r="E221" s="39" t="s">
        <v>642</v>
      </c>
      <c r="F221" s="10" t="s">
        <v>23</v>
      </c>
      <c r="G221" s="36" t="b">
        <f t="shared" si="6"/>
        <v>1</v>
      </c>
      <c r="J221" t="s">
        <v>825</v>
      </c>
      <c r="K221" t="s">
        <v>825</v>
      </c>
      <c r="L221" t="s">
        <v>825</v>
      </c>
      <c r="M221" t="str">
        <f t="shared" si="7"/>
        <v>No Match</v>
      </c>
    </row>
    <row r="222" spans="1:13">
      <c r="A222" s="5" t="s">
        <v>572</v>
      </c>
      <c r="B222" s="6" t="s">
        <v>573</v>
      </c>
      <c r="C222" s="6" t="s">
        <v>574</v>
      </c>
      <c r="D222" s="6" t="s">
        <v>493</v>
      </c>
      <c r="E222" s="33"/>
      <c r="F222" s="10" t="s">
        <v>240</v>
      </c>
      <c r="G222" s="36" t="b">
        <f t="shared" si="6"/>
        <v>1</v>
      </c>
      <c r="J222" t="s">
        <v>825</v>
      </c>
      <c r="K222" t="s">
        <v>825</v>
      </c>
      <c r="L222" t="s">
        <v>825</v>
      </c>
      <c r="M222" t="str">
        <f t="shared" si="7"/>
        <v>No Match</v>
      </c>
    </row>
    <row r="223" spans="1:13">
      <c r="A223" s="5"/>
      <c r="B223" s="6" t="s">
        <v>478</v>
      </c>
      <c r="C223" s="6" t="s">
        <v>479</v>
      </c>
      <c r="D223" s="6" t="s">
        <v>427</v>
      </c>
      <c r="E223" s="6" t="s">
        <v>757</v>
      </c>
      <c r="F223" s="10" t="s">
        <v>240</v>
      </c>
      <c r="G223" s="36" t="b">
        <f t="shared" si="6"/>
        <v>1</v>
      </c>
      <c r="J223" t="s">
        <v>825</v>
      </c>
      <c r="K223" t="s">
        <v>825</v>
      </c>
      <c r="L223" t="s">
        <v>825</v>
      </c>
      <c r="M223" t="str">
        <f t="shared" si="7"/>
        <v>No Match</v>
      </c>
    </row>
    <row r="224" spans="1:13">
      <c r="A224" s="5" t="s">
        <v>206</v>
      </c>
      <c r="B224" s="6" t="s">
        <v>207</v>
      </c>
      <c r="C224" s="6" t="s">
        <v>680</v>
      </c>
      <c r="D224" s="6" t="s">
        <v>199</v>
      </c>
      <c r="E224" s="7" t="s">
        <v>639</v>
      </c>
      <c r="F224" s="10" t="s">
        <v>11</v>
      </c>
      <c r="G224" s="36" t="b">
        <f t="shared" si="6"/>
        <v>1</v>
      </c>
      <c r="J224">
        <v>99</v>
      </c>
      <c r="K224" s="47">
        <v>3E-28</v>
      </c>
      <c r="L224">
        <v>36.31</v>
      </c>
      <c r="M224" t="str">
        <f t="shared" si="7"/>
        <v>No Match</v>
      </c>
    </row>
    <row r="225" spans="1:13">
      <c r="A225" s="14" t="s">
        <v>69</v>
      </c>
      <c r="B225" s="15" t="s">
        <v>70</v>
      </c>
      <c r="C225" s="6" t="s">
        <v>658</v>
      </c>
      <c r="D225" s="6" t="s">
        <v>10</v>
      </c>
      <c r="E225" s="12" t="s">
        <v>653</v>
      </c>
      <c r="F225" s="10" t="s">
        <v>23</v>
      </c>
      <c r="G225" s="36" t="b">
        <f t="shared" si="6"/>
        <v>1</v>
      </c>
      <c r="J225" t="s">
        <v>825</v>
      </c>
      <c r="K225" t="s">
        <v>825</v>
      </c>
      <c r="L225" t="s">
        <v>825</v>
      </c>
      <c r="M225" t="str">
        <f t="shared" si="7"/>
        <v>No Match</v>
      </c>
    </row>
    <row r="226" spans="1:13">
      <c r="A226" s="5"/>
      <c r="B226" s="6" t="s">
        <v>292</v>
      </c>
      <c r="C226" s="6" t="s">
        <v>293</v>
      </c>
      <c r="D226" s="6" t="s">
        <v>239</v>
      </c>
      <c r="E226" s="24" t="s">
        <v>709</v>
      </c>
      <c r="F226" s="10" t="s">
        <v>240</v>
      </c>
      <c r="G226" s="36" t="b">
        <f t="shared" si="6"/>
        <v>1</v>
      </c>
      <c r="J226" t="s">
        <v>825</v>
      </c>
      <c r="K226" t="s">
        <v>825</v>
      </c>
      <c r="L226" t="s">
        <v>825</v>
      </c>
      <c r="M226" t="str">
        <f t="shared" si="7"/>
        <v>No Match</v>
      </c>
    </row>
    <row r="227" spans="1:13">
      <c r="A227" s="5"/>
      <c r="B227" s="12" t="s">
        <v>630</v>
      </c>
      <c r="C227" s="6" t="s">
        <v>631</v>
      </c>
      <c r="D227" s="13" t="s">
        <v>493</v>
      </c>
      <c r="E227" s="29" t="s">
        <v>660</v>
      </c>
      <c r="F227" s="26" t="s">
        <v>89</v>
      </c>
      <c r="G227" s="36" t="b">
        <f t="shared" si="6"/>
        <v>1</v>
      </c>
      <c r="J227">
        <v>98</v>
      </c>
      <c r="K227">
        <v>0</v>
      </c>
      <c r="L227">
        <v>48.56</v>
      </c>
      <c r="M227" t="str">
        <f t="shared" si="7"/>
        <v>Match</v>
      </c>
    </row>
    <row r="228" spans="1:13">
      <c r="A228" s="5" t="s">
        <v>543</v>
      </c>
      <c r="B228" s="6" t="s">
        <v>544</v>
      </c>
      <c r="C228" s="12" t="s">
        <v>545</v>
      </c>
      <c r="D228" s="6" t="s">
        <v>493</v>
      </c>
      <c r="E228" s="27" t="s">
        <v>726</v>
      </c>
      <c r="F228" s="10" t="s">
        <v>283</v>
      </c>
      <c r="G228" s="36" t="b">
        <f t="shared" si="6"/>
        <v>1</v>
      </c>
      <c r="J228">
        <v>66</v>
      </c>
      <c r="K228" s="47">
        <v>9.9999999999999999E-110</v>
      </c>
      <c r="L228">
        <v>55.7</v>
      </c>
      <c r="M228" t="str">
        <f t="shared" si="7"/>
        <v>No Match</v>
      </c>
    </row>
    <row r="229" spans="1:13">
      <c r="A229" s="5" t="s">
        <v>164</v>
      </c>
      <c r="B229" s="6" t="s">
        <v>165</v>
      </c>
      <c r="C229" s="6" t="s">
        <v>672</v>
      </c>
      <c r="D229" s="6" t="s">
        <v>155</v>
      </c>
      <c r="E229" s="6" t="s">
        <v>660</v>
      </c>
      <c r="F229" s="10" t="s">
        <v>89</v>
      </c>
      <c r="G229" s="36" t="b">
        <f t="shared" si="6"/>
        <v>1</v>
      </c>
      <c r="J229" t="s">
        <v>825</v>
      </c>
      <c r="K229" t="s">
        <v>825</v>
      </c>
      <c r="L229" t="s">
        <v>825</v>
      </c>
      <c r="M229" t="str">
        <f t="shared" si="7"/>
        <v>No Match</v>
      </c>
    </row>
    <row r="230" spans="1:13">
      <c r="A230" s="11" t="s">
        <v>558</v>
      </c>
      <c r="B230" s="12" t="s">
        <v>559</v>
      </c>
      <c r="C230" s="6" t="s">
        <v>783</v>
      </c>
      <c r="D230" s="6" t="s">
        <v>493</v>
      </c>
      <c r="E230" s="12" t="s">
        <v>655</v>
      </c>
      <c r="F230" s="10" t="s">
        <v>14</v>
      </c>
      <c r="G230" s="36" t="b">
        <f t="shared" si="6"/>
        <v>1</v>
      </c>
      <c r="J230">
        <v>65</v>
      </c>
      <c r="K230" s="47">
        <v>3.0000000000000001E-80</v>
      </c>
      <c r="L230">
        <v>52.92</v>
      </c>
      <c r="M230" t="str">
        <f t="shared" si="7"/>
        <v>No Match</v>
      </c>
    </row>
    <row r="231" spans="1:13">
      <c r="A231" s="11" t="s">
        <v>591</v>
      </c>
      <c r="B231" s="12" t="s">
        <v>592</v>
      </c>
      <c r="C231" s="6" t="s">
        <v>789</v>
      </c>
      <c r="D231" s="6" t="s">
        <v>493</v>
      </c>
      <c r="E231" s="12" t="s">
        <v>655</v>
      </c>
      <c r="F231" s="10" t="s">
        <v>17</v>
      </c>
      <c r="G231" s="36" t="b">
        <f t="shared" si="6"/>
        <v>1</v>
      </c>
      <c r="J231">
        <v>99</v>
      </c>
      <c r="K231">
        <v>0</v>
      </c>
      <c r="L231">
        <v>64.47</v>
      </c>
      <c r="M231" t="str">
        <f t="shared" si="7"/>
        <v>Match</v>
      </c>
    </row>
    <row r="232" spans="1:13">
      <c r="A232" s="11" t="s">
        <v>541</v>
      </c>
      <c r="B232" s="12" t="s">
        <v>542</v>
      </c>
      <c r="C232" s="6" t="s">
        <v>779</v>
      </c>
      <c r="D232" s="6" t="s">
        <v>493</v>
      </c>
      <c r="E232" s="12" t="s">
        <v>637</v>
      </c>
      <c r="F232" s="10" t="s">
        <v>260</v>
      </c>
      <c r="G232" s="36" t="b">
        <f t="shared" si="6"/>
        <v>1</v>
      </c>
      <c r="J232">
        <v>92</v>
      </c>
      <c r="K232" s="47">
        <v>1.0000000000000001E-130</v>
      </c>
      <c r="L232">
        <v>52.33</v>
      </c>
      <c r="M232" t="str">
        <f t="shared" si="7"/>
        <v>Match</v>
      </c>
    </row>
    <row r="233" spans="1:13">
      <c r="A233" s="11" t="s">
        <v>509</v>
      </c>
      <c r="B233" s="12" t="s">
        <v>510</v>
      </c>
      <c r="C233" s="6" t="s">
        <v>767</v>
      </c>
      <c r="D233" s="6" t="s">
        <v>493</v>
      </c>
      <c r="E233" s="12" t="s">
        <v>655</v>
      </c>
      <c r="F233" s="10" t="s">
        <v>280</v>
      </c>
      <c r="G233" s="36" t="b">
        <f t="shared" si="6"/>
        <v>1</v>
      </c>
      <c r="J233">
        <v>91</v>
      </c>
      <c r="K233">
        <v>0</v>
      </c>
      <c r="L233">
        <v>71.34</v>
      </c>
      <c r="M233" t="str">
        <f t="shared" si="7"/>
        <v>Match</v>
      </c>
    </row>
    <row r="234" spans="1:13">
      <c r="A234" s="11" t="s">
        <v>341</v>
      </c>
      <c r="B234" s="12" t="s">
        <v>342</v>
      </c>
      <c r="C234" s="6" t="s">
        <v>725</v>
      </c>
      <c r="D234" s="12" t="s">
        <v>298</v>
      </c>
      <c r="E234" s="12" t="s">
        <v>655</v>
      </c>
      <c r="F234" s="10" t="s">
        <v>260</v>
      </c>
      <c r="G234" s="36" t="b">
        <f t="shared" si="6"/>
        <v>1</v>
      </c>
      <c r="J234">
        <v>87</v>
      </c>
      <c r="K234" s="47">
        <v>2.0000000000000001E-168</v>
      </c>
      <c r="L234">
        <v>43.99</v>
      </c>
      <c r="M234" t="str">
        <f t="shared" si="7"/>
        <v>Match</v>
      </c>
    </row>
    <row r="235" spans="1:13">
      <c r="A235" s="11" t="s">
        <v>271</v>
      </c>
      <c r="B235" s="12" t="s">
        <v>272</v>
      </c>
      <c r="C235" s="6" t="s">
        <v>700</v>
      </c>
      <c r="D235" s="12" t="s">
        <v>239</v>
      </c>
      <c r="E235" s="12" t="s">
        <v>655</v>
      </c>
      <c r="F235" s="10" t="s">
        <v>14</v>
      </c>
      <c r="G235" s="36" t="b">
        <f t="shared" si="6"/>
        <v>1</v>
      </c>
      <c r="J235">
        <v>96</v>
      </c>
      <c r="K235" s="47">
        <v>3.0000000000000001E-73</v>
      </c>
      <c r="L235">
        <v>55.94</v>
      </c>
      <c r="M235" t="str">
        <f t="shared" si="7"/>
        <v>Match</v>
      </c>
    </row>
    <row r="236" spans="1:13">
      <c r="A236" s="5" t="s">
        <v>130</v>
      </c>
      <c r="B236" s="6" t="s">
        <v>131</v>
      </c>
      <c r="C236" s="6" t="s">
        <v>132</v>
      </c>
      <c r="D236" s="6" t="s">
        <v>82</v>
      </c>
      <c r="E236" s="6" t="s">
        <v>664</v>
      </c>
      <c r="F236" s="10" t="s">
        <v>89</v>
      </c>
      <c r="G236" s="36" t="b">
        <f t="shared" si="6"/>
        <v>1</v>
      </c>
      <c r="J236">
        <v>64</v>
      </c>
      <c r="K236" s="47">
        <v>2.9999999999999998E-25</v>
      </c>
      <c r="L236">
        <v>26.51</v>
      </c>
      <c r="M236" t="str">
        <f t="shared" si="7"/>
        <v>No Match</v>
      </c>
    </row>
    <row r="237" spans="1:13">
      <c r="A237" s="5"/>
      <c r="B237" s="12" t="s">
        <v>150</v>
      </c>
      <c r="C237" s="6" t="s">
        <v>151</v>
      </c>
      <c r="D237" s="12" t="s">
        <v>149</v>
      </c>
      <c r="E237" s="6" t="s">
        <v>660</v>
      </c>
      <c r="F237" s="10" t="s">
        <v>89</v>
      </c>
      <c r="G237" s="36" t="b">
        <f t="shared" si="6"/>
        <v>1</v>
      </c>
      <c r="J237" t="s">
        <v>825</v>
      </c>
      <c r="K237" t="s">
        <v>825</v>
      </c>
      <c r="L237" t="s">
        <v>825</v>
      </c>
      <c r="M237" t="str">
        <f t="shared" si="7"/>
        <v>No Match</v>
      </c>
    </row>
    <row r="238" spans="1:13">
      <c r="A238" s="5" t="s">
        <v>391</v>
      </c>
      <c r="B238" s="50" t="s">
        <v>392</v>
      </c>
      <c r="C238" s="6" t="s">
        <v>393</v>
      </c>
      <c r="D238" s="6" t="s">
        <v>366</v>
      </c>
      <c r="E238" s="6" t="s">
        <v>728</v>
      </c>
      <c r="F238" s="16" t="s">
        <v>240</v>
      </c>
      <c r="G238" s="36" t="b">
        <f t="shared" si="6"/>
        <v>1</v>
      </c>
      <c r="J238" t="s">
        <v>825</v>
      </c>
      <c r="K238" t="s">
        <v>825</v>
      </c>
      <c r="L238" t="s">
        <v>825</v>
      </c>
      <c r="M238" t="str">
        <f t="shared" si="7"/>
        <v>No Match</v>
      </c>
    </row>
    <row r="239" spans="1:13">
      <c r="A239" s="5"/>
      <c r="B239" s="6" t="s">
        <v>194</v>
      </c>
      <c r="C239" s="6" t="s">
        <v>195</v>
      </c>
      <c r="D239" s="6" t="s">
        <v>191</v>
      </c>
      <c r="E239" s="7" t="s">
        <v>639</v>
      </c>
      <c r="F239" s="10" t="s">
        <v>11</v>
      </c>
      <c r="G239" s="36" t="b">
        <f t="shared" si="6"/>
        <v>1</v>
      </c>
      <c r="J239" t="s">
        <v>825</v>
      </c>
      <c r="K239" t="s">
        <v>825</v>
      </c>
      <c r="L239" t="s">
        <v>825</v>
      </c>
      <c r="M239" t="str">
        <f t="shared" si="7"/>
        <v>No Match</v>
      </c>
    </row>
    <row r="240" spans="1:13">
      <c r="A240" s="5"/>
      <c r="B240" s="12" t="s">
        <v>628</v>
      </c>
      <c r="C240" s="6" t="s">
        <v>629</v>
      </c>
      <c r="D240" s="12" t="s">
        <v>493</v>
      </c>
      <c r="E240" s="6" t="s">
        <v>660</v>
      </c>
      <c r="F240" s="10" t="s">
        <v>89</v>
      </c>
      <c r="G240" s="36" t="b">
        <f t="shared" si="6"/>
        <v>1</v>
      </c>
      <c r="J240">
        <v>96</v>
      </c>
      <c r="K240">
        <v>0</v>
      </c>
      <c r="L240">
        <v>48.77</v>
      </c>
      <c r="M240" t="str">
        <f t="shared" si="7"/>
        <v>Match</v>
      </c>
    </row>
    <row r="241" spans="1:13">
      <c r="A241" s="11" t="s">
        <v>175</v>
      </c>
      <c r="B241" s="12" t="s">
        <v>176</v>
      </c>
      <c r="C241" s="6" t="s">
        <v>673</v>
      </c>
      <c r="D241" s="12" t="s">
        <v>178</v>
      </c>
      <c r="E241" s="19" t="s">
        <v>177</v>
      </c>
      <c r="F241" s="10" t="s">
        <v>179</v>
      </c>
      <c r="G241" s="36" t="b">
        <f t="shared" si="6"/>
        <v>1</v>
      </c>
      <c r="J241">
        <v>92</v>
      </c>
      <c r="K241" s="47">
        <v>4E-90</v>
      </c>
      <c r="L241">
        <v>39.56</v>
      </c>
      <c r="M241" t="str">
        <f t="shared" si="7"/>
        <v>No Match</v>
      </c>
    </row>
    <row r="242" spans="1:13">
      <c r="A242" s="5" t="s">
        <v>135</v>
      </c>
      <c r="B242" s="6" t="s">
        <v>136</v>
      </c>
      <c r="C242" s="6" t="s">
        <v>667</v>
      </c>
      <c r="D242" s="6" t="s">
        <v>82</v>
      </c>
      <c r="E242" s="6" t="s">
        <v>660</v>
      </c>
      <c r="F242" s="10" t="s">
        <v>89</v>
      </c>
      <c r="G242" s="36" t="b">
        <f t="shared" si="6"/>
        <v>1</v>
      </c>
      <c r="J242">
        <v>97</v>
      </c>
      <c r="K242" s="47">
        <v>2.9999999999999999E-169</v>
      </c>
      <c r="L242">
        <v>69.25</v>
      </c>
      <c r="M242" t="str">
        <f t="shared" si="7"/>
        <v>Match</v>
      </c>
    </row>
    <row r="243" spans="1:13">
      <c r="A243" s="5" t="s">
        <v>119</v>
      </c>
      <c r="B243" s="6" t="s">
        <v>117</v>
      </c>
      <c r="C243" s="43"/>
      <c r="D243" s="6" t="s">
        <v>82</v>
      </c>
      <c r="E243" s="7" t="s">
        <v>665</v>
      </c>
      <c r="F243" s="10" t="s">
        <v>120</v>
      </c>
      <c r="G243" s="36" t="b">
        <f t="shared" si="6"/>
        <v>0</v>
      </c>
      <c r="I243" s="44" t="s">
        <v>820</v>
      </c>
      <c r="M243" t="s">
        <v>827</v>
      </c>
    </row>
    <row r="244" spans="1:13">
      <c r="A244" s="5" t="s">
        <v>401</v>
      </c>
      <c r="B244" s="6" t="s">
        <v>402</v>
      </c>
      <c r="C244" s="43"/>
      <c r="D244" s="12" t="s">
        <v>400</v>
      </c>
      <c r="E244" s="7" t="s">
        <v>665</v>
      </c>
      <c r="F244" s="16" t="s">
        <v>120</v>
      </c>
      <c r="G244" s="36" t="b">
        <f t="shared" si="6"/>
        <v>0</v>
      </c>
      <c r="I244" s="44" t="s">
        <v>820</v>
      </c>
      <c r="M244" t="s">
        <v>827</v>
      </c>
    </row>
  </sheetData>
  <autoFilter ref="A2:M244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6382-423D-45B2-B86F-20BF77A34481}">
  <dimension ref="A1:B35"/>
  <sheetViews>
    <sheetView tabSelected="1" workbookViewId="0">
      <selection activeCell="F14" sqref="F14"/>
    </sheetView>
  </sheetViews>
  <sheetFormatPr defaultRowHeight="14.4"/>
  <cols>
    <col min="1" max="1" width="31.33203125" bestFit="1" customWidth="1"/>
    <col min="2" max="2" width="15.21875" bestFit="1" customWidth="1"/>
  </cols>
  <sheetData>
    <row r="1" spans="1:2">
      <c r="A1" s="51" t="s">
        <v>828</v>
      </c>
      <c r="B1" t="s">
        <v>832</v>
      </c>
    </row>
    <row r="2" spans="1:2">
      <c r="A2" s="49" t="s">
        <v>829</v>
      </c>
      <c r="B2" s="53">
        <v>71</v>
      </c>
    </row>
    <row r="3" spans="1:2">
      <c r="A3" s="52" t="s">
        <v>493</v>
      </c>
      <c r="B3" s="53">
        <v>26</v>
      </c>
    </row>
    <row r="4" spans="1:2">
      <c r="A4" s="52" t="s">
        <v>427</v>
      </c>
      <c r="B4" s="53">
        <v>9</v>
      </c>
    </row>
    <row r="5" spans="1:2">
      <c r="A5" s="52" t="s">
        <v>298</v>
      </c>
      <c r="B5" s="53">
        <v>9</v>
      </c>
    </row>
    <row r="6" spans="1:2">
      <c r="A6" s="52" t="s">
        <v>82</v>
      </c>
      <c r="B6" s="53">
        <v>7</v>
      </c>
    </row>
    <row r="7" spans="1:2">
      <c r="A7" s="52" t="s">
        <v>239</v>
      </c>
      <c r="B7" s="53">
        <v>6</v>
      </c>
    </row>
    <row r="8" spans="1:2">
      <c r="A8" s="52" t="s">
        <v>10</v>
      </c>
      <c r="B8" s="53">
        <v>5</v>
      </c>
    </row>
    <row r="9" spans="1:2">
      <c r="A9" s="52" t="s">
        <v>400</v>
      </c>
      <c r="B9" s="53">
        <v>2</v>
      </c>
    </row>
    <row r="10" spans="1:2">
      <c r="A10" s="52" t="s">
        <v>484</v>
      </c>
      <c r="B10" s="53">
        <v>2</v>
      </c>
    </row>
    <row r="11" spans="1:2">
      <c r="A11" s="52" t="s">
        <v>199</v>
      </c>
      <c r="B11" s="53">
        <v>1</v>
      </c>
    </row>
    <row r="12" spans="1:2">
      <c r="A12" s="52" t="s">
        <v>397</v>
      </c>
      <c r="B12" s="53">
        <v>1</v>
      </c>
    </row>
    <row r="13" spans="1:2">
      <c r="A13" s="52" t="s">
        <v>350</v>
      </c>
      <c r="B13" s="53">
        <v>1</v>
      </c>
    </row>
    <row r="14" spans="1:2">
      <c r="A14" s="52" t="s">
        <v>366</v>
      </c>
      <c r="B14" s="53">
        <v>1</v>
      </c>
    </row>
    <row r="15" spans="1:2">
      <c r="A15" s="52" t="s">
        <v>178</v>
      </c>
      <c r="B15" s="53">
        <v>1</v>
      </c>
    </row>
    <row r="16" spans="1:2">
      <c r="A16" s="49" t="s">
        <v>827</v>
      </c>
      <c r="B16" s="53">
        <v>2</v>
      </c>
    </row>
    <row r="17" spans="1:2">
      <c r="A17" s="52" t="s">
        <v>400</v>
      </c>
      <c r="B17" s="53">
        <v>1</v>
      </c>
    </row>
    <row r="18" spans="1:2">
      <c r="A18" s="52" t="s">
        <v>82</v>
      </c>
      <c r="B18" s="53">
        <v>1</v>
      </c>
    </row>
    <row r="19" spans="1:2">
      <c r="A19" s="49" t="s">
        <v>830</v>
      </c>
      <c r="B19" s="53">
        <v>169</v>
      </c>
    </row>
    <row r="20" spans="1:2">
      <c r="A20" s="52" t="s">
        <v>493</v>
      </c>
      <c r="B20" s="53">
        <v>34</v>
      </c>
    </row>
    <row r="21" spans="1:2">
      <c r="A21" s="52" t="s">
        <v>10</v>
      </c>
      <c r="B21" s="53">
        <v>22</v>
      </c>
    </row>
    <row r="22" spans="1:2">
      <c r="A22" s="52" t="s">
        <v>239</v>
      </c>
      <c r="B22" s="53">
        <v>17</v>
      </c>
    </row>
    <row r="23" spans="1:2">
      <c r="A23" s="52" t="s">
        <v>82</v>
      </c>
      <c r="B23" s="53">
        <v>16</v>
      </c>
    </row>
    <row r="24" spans="1:2">
      <c r="A24" s="52" t="s">
        <v>199</v>
      </c>
      <c r="B24" s="53">
        <v>14</v>
      </c>
    </row>
    <row r="25" spans="1:2">
      <c r="A25" s="52" t="s">
        <v>427</v>
      </c>
      <c r="B25" s="53">
        <v>13</v>
      </c>
    </row>
    <row r="26" spans="1:2">
      <c r="A26" s="52" t="s">
        <v>298</v>
      </c>
      <c r="B26" s="53">
        <v>12</v>
      </c>
    </row>
    <row r="27" spans="1:2">
      <c r="A27" s="52" t="s">
        <v>366</v>
      </c>
      <c r="B27" s="53">
        <v>11</v>
      </c>
    </row>
    <row r="28" spans="1:2">
      <c r="A28" s="52" t="s">
        <v>155</v>
      </c>
      <c r="B28" s="53">
        <v>8</v>
      </c>
    </row>
    <row r="29" spans="1:2">
      <c r="A29" s="52" t="s">
        <v>400</v>
      </c>
      <c r="B29" s="53">
        <v>7</v>
      </c>
    </row>
    <row r="30" spans="1:2">
      <c r="A30" s="52" t="s">
        <v>350</v>
      </c>
      <c r="B30" s="53">
        <v>5</v>
      </c>
    </row>
    <row r="31" spans="1:2">
      <c r="A31" s="52" t="s">
        <v>191</v>
      </c>
      <c r="B31" s="53">
        <v>3</v>
      </c>
    </row>
    <row r="32" spans="1:2">
      <c r="A32" s="52" t="s">
        <v>149</v>
      </c>
      <c r="B32" s="53">
        <v>3</v>
      </c>
    </row>
    <row r="33" spans="1:2">
      <c r="A33" s="52" t="s">
        <v>186</v>
      </c>
      <c r="B33" s="53">
        <v>2</v>
      </c>
    </row>
    <row r="34" spans="1:2">
      <c r="A34" s="52" t="s">
        <v>178</v>
      </c>
      <c r="B34" s="53">
        <v>2</v>
      </c>
    </row>
    <row r="35" spans="1:2">
      <c r="A35" s="49" t="s">
        <v>831</v>
      </c>
      <c r="B35" s="53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Probiotic Potential Identified</vt:lpstr>
      <vt:lpstr>Match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</dc:creator>
  <cp:lastModifiedBy>Christoph Duke (cd3g22)</cp:lastModifiedBy>
  <dcterms:created xsi:type="dcterms:W3CDTF">2015-06-05T18:19:34Z</dcterms:created>
  <dcterms:modified xsi:type="dcterms:W3CDTF">2026-04-07T15:26:51Z</dcterms:modified>
</cp:coreProperties>
</file>